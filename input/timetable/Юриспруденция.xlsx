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905" windowHeight="13155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calcChain.xml><?xml version="1.0" encoding="utf-8"?>
<calcChain xmlns="http://schemas.openxmlformats.org/spreadsheetml/2006/main">
  <c r="V8" i="26" l="1"/>
  <c r="X7" i="26"/>
  <c r="C8" i="28" l="1"/>
  <c r="I7" i="28"/>
  <c r="O7" i="28" s="1"/>
  <c r="K7" i="27" l="1"/>
  <c r="W7" i="27" s="1"/>
  <c r="I7" i="27"/>
  <c r="O7" i="27" s="1"/>
  <c r="U7" i="27" s="1"/>
  <c r="Q7" i="27" l="1"/>
  <c r="R7" i="26"/>
  <c r="L7" i="26"/>
  <c r="E7" i="26"/>
  <c r="I7" i="25" l="1"/>
  <c r="O7" i="25" s="1"/>
  <c r="K6" i="25"/>
  <c r="C8" i="27"/>
  <c r="K7" i="25"/>
  <c r="Q7" i="25" s="1"/>
  <c r="I8" i="25" l="1"/>
  <c r="O8" i="25" s="1"/>
  <c r="P8" i="26"/>
  <c r="C8" i="26"/>
  <c r="J8" i="26"/>
  <c r="I8" i="27" l="1"/>
  <c r="O8" i="27" s="1"/>
  <c r="U8" i="27" s="1"/>
  <c r="I8" i="28"/>
  <c r="O8" i="28" s="1"/>
</calcChain>
</file>

<file path=xl/sharedStrings.xml><?xml version="1.0" encoding="utf-8"?>
<sst xmlns="http://schemas.openxmlformats.org/spreadsheetml/2006/main" count="836" uniqueCount="231">
  <si>
    <t>пара</t>
  </si>
  <si>
    <t>Учебный год</t>
  </si>
  <si>
    <t>Семестр</t>
  </si>
  <si>
    <t>Институт</t>
  </si>
  <si>
    <t>государства и права</t>
  </si>
  <si>
    <t>Курс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</si>
  <si>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</si>
  <si>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</si>
  <si>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</si>
  <si>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</si>
  <si>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</si>
  <si>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</si>
  <si>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</si>
  <si>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Зав. кафедрой</t>
  </si>
  <si>
    <t>Преподаватель</t>
  </si>
  <si>
    <t>Направление</t>
  </si>
  <si>
    <t>40.03.01 Юриспруденция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</si>
  <si>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</si>
  <si>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</si>
  <si>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</si>
  <si>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</si>
  <si>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</si>
  <si>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</si>
  <si>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</si>
  <si>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</si>
  <si>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дисциплина, ауд</t>
  </si>
  <si>
    <t>Элективные дисциплины по физической культуре и спорту, С</t>
  </si>
  <si>
    <t>102-23</t>
  </si>
  <si>
    <t>ЭУК</t>
  </si>
  <si>
    <t>Физическая культура и спорт (лек 8 ч)</t>
  </si>
  <si>
    <t>День самостоятельной работы</t>
  </si>
  <si>
    <t>весенний</t>
  </si>
  <si>
    <t xml:space="preserve">ТО: </t>
  </si>
  <si>
    <t>ТО</t>
  </si>
  <si>
    <t>Русский язык и культура речи (лек 32ч)</t>
  </si>
  <si>
    <t>Куприянова Е.В.</t>
  </si>
  <si>
    <t>Иностранный язык, п/г 1, К710</t>
  </si>
  <si>
    <t>Иностранный язык, п/г 2, К723</t>
  </si>
  <si>
    <t>Философия (лек 32 ч)</t>
  </si>
  <si>
    <t>Работа в команде (лек 32 ч)</t>
  </si>
  <si>
    <t>Муравлянский А.В.</t>
  </si>
  <si>
    <t>Стражевич Ю.Н.</t>
  </si>
  <si>
    <t>Жадобина Н.Н.</t>
  </si>
  <si>
    <t>Уголовное право (лек), К204// Уголовный процесс (лек). К204</t>
  </si>
  <si>
    <t>Криминалистика, п/г 1, К630</t>
  </si>
  <si>
    <t>Криминалистика, п/г 2, К630</t>
  </si>
  <si>
    <t>Налбандян Е.Л.</t>
  </si>
  <si>
    <t>Уголовное право (пр). К628</t>
  </si>
  <si>
    <t>Трудовое право (пр ), К711</t>
  </si>
  <si>
    <t>Багиров Ч.М.</t>
  </si>
  <si>
    <t xml:space="preserve">Л.А. Попова </t>
  </si>
  <si>
    <t>102-31</t>
  </si>
  <si>
    <t>102-32</t>
  </si>
  <si>
    <t>102-33</t>
  </si>
  <si>
    <t>102-21</t>
  </si>
  <si>
    <t>102-22</t>
  </si>
  <si>
    <t>Психология инклюзивного общества (лекция 16 ч)</t>
  </si>
  <si>
    <t>Трудовое право (лек), К204// Гражданский процесс (лек), К204</t>
  </si>
  <si>
    <t>Гражданское право (пр), К711</t>
  </si>
  <si>
    <t>Конституционное право (пр), К703</t>
  </si>
  <si>
    <t>Уголовный процесс (пр), К628</t>
  </si>
  <si>
    <t>Гражданский процесс (пр), К718</t>
  </si>
  <si>
    <t>Теория доказывания (лек), К628</t>
  </si>
  <si>
    <t>102-41</t>
  </si>
  <si>
    <t>102-42</t>
  </si>
  <si>
    <t>102-43</t>
  </si>
  <si>
    <t>Юрист публичного права и управления</t>
  </si>
  <si>
    <t>Юридический консалтинг. Юрист цифровой экономики</t>
  </si>
  <si>
    <t>Юрист общей практики со знанием иностранного языка</t>
  </si>
  <si>
    <t>102-34</t>
  </si>
  <si>
    <t>История России (лекция 32 ч)</t>
  </si>
  <si>
    <t>Ситникова А.Ю.; Костюнина М.В.</t>
  </si>
  <si>
    <t>Физическая культура и спорт//Элек. дисциплины по физ. культуре и спорту, С</t>
  </si>
  <si>
    <t>Цифровая грамотность (лек 16 ч)</t>
  </si>
  <si>
    <t>Цифровая грамотность (пр),  К706</t>
  </si>
  <si>
    <t>Иностранный язык, п/г 2, К710</t>
  </si>
  <si>
    <t>Иностранный язык, п/г 1, К723</t>
  </si>
  <si>
    <t>1-2.</t>
  </si>
  <si>
    <t>Элективные дисциплины по физической культуре и спорту, С*</t>
  </si>
  <si>
    <t xml:space="preserve">Примечание: *  </t>
  </si>
  <si>
    <t>Усольцева Н.А./ Стражевич Ю.Н.</t>
  </si>
  <si>
    <t>Муниципальное право (лек), К204// Административное право (лек), К204</t>
  </si>
  <si>
    <t>Жадобина Н.Н./Нехайчик В.К.</t>
  </si>
  <si>
    <t>Уголовное право (пр), К714</t>
  </si>
  <si>
    <t>Элект. дисциплины по физической культуре и спорту, С*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</si>
  <si>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</si>
  <si>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Криминалистика (лаб), К630</t>
  </si>
  <si>
    <t>Экологическое право (пр), К708</t>
  </si>
  <si>
    <t>Трудовое право (пр ), К714</t>
  </si>
  <si>
    <t>Правовые аспекты электронной коммерции (лек), К714</t>
  </si>
  <si>
    <t>Налоговое право (пр), К703</t>
  </si>
  <si>
    <t>Законодательство субъекта федерации (пр), К707</t>
  </si>
  <si>
    <t>Начальник УОпоОФО</t>
  </si>
  <si>
    <t>Законодательство субъекта федерации (лек), К703</t>
  </si>
  <si>
    <t>2025-2026</t>
  </si>
  <si>
    <t>102-51</t>
  </si>
  <si>
    <t>102-52</t>
  </si>
  <si>
    <t>102-53</t>
  </si>
  <si>
    <t>"____"________2026 г.</t>
  </si>
  <si>
    <t xml:space="preserve">Юрист публичного права и управления                                             </t>
  </si>
  <si>
    <t>102-44</t>
  </si>
  <si>
    <t>Директор института</t>
  </si>
  <si>
    <t>Н.Н. Жадобина</t>
  </si>
  <si>
    <t>"____"________2026г.</t>
  </si>
  <si>
    <t>02.02.2026 - 06.06.2026</t>
  </si>
  <si>
    <t>02.02.2026 - 08.06.2026</t>
  </si>
  <si>
    <t>Теория государства и права (лек), К204// История государства и права России (лек), К204</t>
  </si>
  <si>
    <t>Конституционное право (лек), К204//</t>
  </si>
  <si>
    <t>Нехайчик В.К.</t>
  </si>
  <si>
    <t>ДВ 01.01: Правовое обеспечение противодействия коррупции (пр), К628 ; ДВ 01.02: Юридическая техника (пр), К710//</t>
  </si>
  <si>
    <t>//ДВ 01.01: Правовое обеспечение противодействия коррупции (пр), К628; ДВ 01.02: Юридическая техника (пр), К710</t>
  </si>
  <si>
    <t>ДВ 01.01: Правовое обеспечение противодействия коррупции (пр), К628; ДВ 01.02: Юридическая техника (пр), К710//</t>
  </si>
  <si>
    <t>ДВ 01.01: Правовое обеспечение противодействия коррупции (лек), К628; ДВ 01.02: Юридическая техника (лек), К204// Правовые основы противодействия экстремизму и терроризму (лек), К204</t>
  </si>
  <si>
    <t>Теория государства и права (пр), К708</t>
  </si>
  <si>
    <t>ДВ 02.01: Введение в гражданское право (лек), К201;  ДВ 02.02: Права человека и введение в частное право (лек), К204 //  Административное право (лек), К204</t>
  </si>
  <si>
    <t>Правовые основы противодействия экстремизму и терроризму (пр), К628// ДВ 02.01: Введение в гражданское право (пр), К703                                                 ДВ 02.02: Права человека и введение в частное право (пр), К707</t>
  </si>
  <si>
    <t>ДВ 02.01: Введение в гражданское право (пр), К703                                                 ДВ 02.02: Права человека и введение в частное право (пр), К707// Правовые основы противодействия экстремизму и терроризму (пр), К628</t>
  </si>
  <si>
    <t>Административное право (пр), К711</t>
  </si>
  <si>
    <t>Русский язык и культура речи (пр), К709</t>
  </si>
  <si>
    <t>Русский язык и культура речи (пр), К708</t>
  </si>
  <si>
    <t>История государства и права России (пр), К708</t>
  </si>
  <si>
    <t>История России (пр), К709</t>
  </si>
  <si>
    <t>Иностранный язык, п/г 1, К709</t>
  </si>
  <si>
    <t>4-5.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</si>
  <si>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</si>
  <si>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Бутенко Н.А.</t>
  </si>
  <si>
    <t>Калинина Е.А.</t>
  </si>
  <si>
    <t>Осипова А.В.</t>
  </si>
  <si>
    <t>Основы проектной деятельности (лек 16 ч)</t>
  </si>
  <si>
    <t>Гражданское право (лек), К204//Право социального обеспечения (лек), К204</t>
  </si>
  <si>
    <t>Право социального обеспечения (пр), К711</t>
  </si>
  <si>
    <t>Муниципальное право (пр), К703</t>
  </si>
  <si>
    <t>Арктическое право (лек)/(пр), К703</t>
  </si>
  <si>
    <t>Филиппова Н.А.,Зарипова Э.К./Зарипова Э.К.</t>
  </si>
  <si>
    <t>Основы проектной деятельности (пр), К706</t>
  </si>
  <si>
    <t>Правовое обеспечение систем безопасности (лек)/(пр), К711</t>
  </si>
  <si>
    <t>Правовое обеспечение систем безопасности (лек), К711//</t>
  </si>
  <si>
    <t>Правовое обеспечение систем безопасности (пр), К711//</t>
  </si>
  <si>
    <t>Иностранный язык, п/г 2, К718</t>
  </si>
  <si>
    <t>Уголовное право (пр), К708</t>
  </si>
  <si>
    <t>Работа в команде (пр), К427//</t>
  </si>
  <si>
    <t xml:space="preserve"> Административное право (пр), К703//</t>
  </si>
  <si>
    <t>//Философия (пр) , К427</t>
  </si>
  <si>
    <t>Философия (пр) , К428//</t>
  </si>
  <si>
    <t>Философия (пр) , К709//</t>
  </si>
  <si>
    <t>//Философия (пр) , К709</t>
  </si>
  <si>
    <t>Основы проектной деятельности (пр), К709</t>
  </si>
  <si>
    <t>Работа в команде (пр), К703// Административное право (пр), К703</t>
  </si>
  <si>
    <t>Работа в команде (пр), К709// Административное право (пр), К703</t>
  </si>
  <si>
    <t>Право социального обеспечения (пр), К714</t>
  </si>
  <si>
    <t>Гражданское право (пр), К718</t>
  </si>
  <si>
    <t>Административное право (пр), К718// Работа в команде (пр), К709</t>
  </si>
  <si>
    <t>Муниципальное право (пр), К718</t>
  </si>
  <si>
    <t>Предпринимательское право (лек), К203// Экологическое право (лек), К203</t>
  </si>
  <si>
    <t>Криминалистика (лек), К204//</t>
  </si>
  <si>
    <t>ФТД: Государственный контроль в сфере нотариата (лек)/(пр), К703</t>
  </si>
  <si>
    <t>Уголовное право (лек), К204</t>
  </si>
  <si>
    <t xml:space="preserve"> ФТД: Нотариат. Электронный нотариат (лек)/(пр), К703</t>
  </si>
  <si>
    <t>Уголовный процесс (пр). К708</t>
  </si>
  <si>
    <t>Иностр. язык в сфере юриспруд.,        п/г 2 (24 ч), К412</t>
  </si>
  <si>
    <t>Иностр. язык в сфере юриспруд,     п/г 1 (24 ч), К412</t>
  </si>
  <si>
    <t>Иностр. язык в сфере юриспруд.,      п/г 2 (24 ч), К412</t>
  </si>
  <si>
    <t>Криминалистика (лек), К204//  ФТД: Введение в англо-американское право (лек), К628</t>
  </si>
  <si>
    <t>Криминалистика (лек), К204// ФТД: Введение в англо-американское право (лек), К628</t>
  </si>
  <si>
    <t>Иностр. язык в сфере юриспруд.,      п/г 2 (24 ч), К710</t>
  </si>
  <si>
    <t>Иностр. язык в сфере юриспруд,        п/г 1 (24 ч), К710</t>
  </si>
  <si>
    <t>Предпринимательское право (пр), К711</t>
  </si>
  <si>
    <t>Трудовое право (пр). К714</t>
  </si>
  <si>
    <t>ФТД: Правовое обеспечение цифровой экономики (лек)/(пр), К714</t>
  </si>
  <si>
    <t>Гражданский процесс (пр), К714</t>
  </si>
  <si>
    <t>ФТД: Медицинское право (лек)/(пр), К710</t>
  </si>
  <si>
    <t>Экологическое право (пр), К718</t>
  </si>
  <si>
    <t>Экологическое право (пр), К628</t>
  </si>
  <si>
    <t>Предпринимательское право (пр), К723</t>
  </si>
  <si>
    <t>Гражданский процесс (пр), К708</t>
  </si>
  <si>
    <t>Миграционное право (лек)/(пр), К708</t>
  </si>
  <si>
    <t>Исполнительное производство (пр), К709</t>
  </si>
  <si>
    <t>//Правовое обеспечение предварительного расследования (лек), К628</t>
  </si>
  <si>
    <t>ФТД: Судебные медицина и психиатрия (лек)/(пр), К628</t>
  </si>
  <si>
    <t>ФТД: Судебные медицина и психиатрия (лек), К628//</t>
  </si>
  <si>
    <t>// Правовое обеспечение предварительного расследования (лек), К628</t>
  </si>
  <si>
    <t>ФТД: Введение в англо-американское право (пр), К628//</t>
  </si>
  <si>
    <t>Психология инклюзивного общества (пр ), К718// ФТД: Судебные медицина и психиатрия (пр), К628</t>
  </si>
  <si>
    <t>ФТД: Введение в англо-американское право (пр), К628// Психология инклюзивного общества (пр ), К718</t>
  </si>
  <si>
    <t>Правовое обеспечение предварительного расследования (пр), К718</t>
  </si>
  <si>
    <t>Административный процесс (лек), К709</t>
  </si>
  <si>
    <t>Административный процесс (пр), К709</t>
  </si>
  <si>
    <t>Налоговое право (лек), К202</t>
  </si>
  <si>
    <t>Административный процесс (лек), К710</t>
  </si>
  <si>
    <t>Административный процесс (пр), К710</t>
  </si>
  <si>
    <t>ФТД: Конституционное право государств Евразии (лек), К709</t>
  </si>
  <si>
    <t>Банковское право (лек), К426</t>
  </si>
  <si>
    <t>Банковское право (пр), К426</t>
  </si>
  <si>
    <t>Иностранный язык в сфере юриспруденции (пр), К413</t>
  </si>
  <si>
    <t>Иностр. язык в сфере юриспруд, п/г 1, К413</t>
  </si>
  <si>
    <t>ФТД: Конституционное право государств Евразии(лек), К709</t>
  </si>
  <si>
    <t>Законодательство субъекта федерации (лек), К709</t>
  </si>
  <si>
    <t>ФТД: Конституционное право государств Евразии (пр), К707</t>
  </si>
  <si>
    <t>Правовое регулирование банкротства (лек), К711</t>
  </si>
  <si>
    <t>Правовое регулирование банкротства (пр), К711</t>
  </si>
  <si>
    <t>Жилищное право (лек), К714</t>
  </si>
  <si>
    <t>Жилищное право (пр), К714</t>
  </si>
  <si>
    <t>Жилищное право (лек), К710</t>
  </si>
  <si>
    <t>Жилищное право (пр), К710</t>
  </si>
  <si>
    <t>Особенности рассмотрения отдельных категорий дел (лек), К714</t>
  </si>
  <si>
    <t>Особенности рассмотрения отдельных категорий дел (пр), К714</t>
  </si>
  <si>
    <t>Иностр. язык в сфере юриспруд, п/г 2, К710</t>
  </si>
  <si>
    <t>Иностр. язык в сфере юриспруд, п/г 1, К710//</t>
  </si>
  <si>
    <t>//Иностр. язык в сфере юриспруд, п/г 2, К710</t>
  </si>
  <si>
    <t>Исполнение судебных решений (лек), К714</t>
  </si>
  <si>
    <t>Исполнение судебных решений (пр), К714</t>
  </si>
  <si>
    <t>ФТД: Основы оперативно-розыскной, частно-детективной и частной охранной деятельности (лек), К709</t>
  </si>
  <si>
    <t>ФТД: Основы оперативно-розыскной, частно-детективной и частной охранной деятельности (пр), К709</t>
  </si>
  <si>
    <t>Теория доказывания (пр), К709</t>
  </si>
  <si>
    <t>Юридический консалтинг (лек), К428</t>
  </si>
  <si>
    <t>Юридический консалтинг (пр), К428</t>
  </si>
  <si>
    <t>Исполнение судебных решений (пр), К628</t>
  </si>
  <si>
    <t>Налоговое право (пр), К628</t>
  </si>
  <si>
    <t>Уголовное право (пр),  К711</t>
  </si>
  <si>
    <t>Иностр. язык в сфере юриспруд,     п/г 1 (24 ч), К413</t>
  </si>
  <si>
    <t>Иностранный язык в сфере юриспруденции (24 ч), К723</t>
  </si>
  <si>
    <t>Правовые аспекты электронной коммерции (лек), К710</t>
  </si>
  <si>
    <t>Правовые аспекты электронной коммерции (пр), К710</t>
  </si>
  <si>
    <t>Правовые аспекты электронной коммерции (пр), К723</t>
  </si>
  <si>
    <t>//Миграционное право (пр), К708</t>
  </si>
  <si>
    <t>Психология инклюзивного общества (пр ), К718//</t>
  </si>
  <si>
    <t>Криминалистика (лек), К204// Психология инклюзивного общества (пр ), К718</t>
  </si>
  <si>
    <t>Теория доказывания (пр), К628</t>
  </si>
  <si>
    <t>Страхование в предпринимательской деятельности (лек)/(пр), К714</t>
  </si>
  <si>
    <t xml:space="preserve">Исполнительное производство (лек), К709// </t>
  </si>
  <si>
    <t>Основы проектной деятельности (пр), К608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</si>
</sst>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color rgb="FF006100"/>
      <name val="Open Sans"/>
      <charset val="204"/>
    </font>
    <font>
      <sz val="8"/>
      <name val="Open Sans"/>
      <charset val="204"/>
    </font>
    <font>
      <sz val="8"/>
      <color theme="1"/>
      <name val="Open Sans"/>
      <charset val="204"/>
    </font>
    <font>
      <sz val="11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0" tint="-0.3499862666707357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41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7" xfId="0" applyFont="1" applyBorder="1" applyAlignment="1">
      <alignment horizontal="center" wrapText="1"/>
    </xf>
    <xf numFmtId="0" fontId="6" fillId="0" borderId="18" xfId="0" applyFont="1" applyBorder="1" applyAlignment="1">
      <alignment horizontal="center"/>
    </xf>
    <xf numFmtId="0" fontId="6" fillId="0" borderId="17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20" xfId="0" applyFont="1" applyBorder="1" applyAlignment="1">
      <alignment horizontal="centerContinuous"/>
    </xf>
    <xf numFmtId="0" fontId="6" fillId="4" borderId="11" xfId="0" applyFont="1" applyFill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9" fillId="3" borderId="21" xfId="2" applyFont="1" applyBorder="1" applyAlignment="1">
      <alignment horizontal="left" vertical="top"/>
    </xf>
    <xf numFmtId="0" fontId="10" fillId="0" borderId="15" xfId="0" applyFont="1" applyBorder="1" applyAlignment="1">
      <alignment horizontal="center"/>
    </xf>
    <xf numFmtId="0" fontId="11" fillId="0" borderId="12" xfId="0" applyFont="1" applyBorder="1"/>
    <xf numFmtId="0" fontId="9" fillId="0" borderId="4" xfId="0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11" fillId="0" borderId="13" xfId="0" applyFont="1" applyBorder="1"/>
    <xf numFmtId="0" fontId="9" fillId="0" borderId="5" xfId="0" applyFont="1" applyBorder="1" applyAlignment="1">
      <alignment horizontal="left" vertical="top" textRotation="255"/>
    </xf>
    <xf numFmtId="0" fontId="10" fillId="0" borderId="8" xfId="0" applyFont="1" applyBorder="1" applyAlignment="1">
      <alignment horizontal="center"/>
    </xf>
    <xf numFmtId="0" fontId="11" fillId="0" borderId="14" xfId="0" applyFont="1" applyBorder="1"/>
    <xf numFmtId="0" fontId="9" fillId="3" borderId="2" xfId="2" applyFont="1" applyBorder="1" applyAlignment="1">
      <alignment horizontal="left" vertical="top"/>
    </xf>
    <xf numFmtId="0" fontId="10" fillId="0" borderId="9" xfId="0" applyFont="1" applyBorder="1" applyAlignment="1">
      <alignment horizontal="center"/>
    </xf>
    <xf numFmtId="0" fontId="9" fillId="0" borderId="5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9" fillId="3" borderId="21" xfId="2" applyFont="1" applyBorder="1"/>
    <xf numFmtId="0" fontId="10" fillId="0" borderId="4" xfId="0" applyFont="1" applyBorder="1"/>
    <xf numFmtId="0" fontId="5" fillId="0" borderId="5" xfId="0" applyFont="1" applyBorder="1"/>
    <xf numFmtId="0" fontId="5" fillId="0" borderId="8" xfId="0" applyFont="1" applyBorder="1" applyAlignment="1">
      <alignment horizontal="center"/>
    </xf>
    <xf numFmtId="0" fontId="5" fillId="0" borderId="5" xfId="0" applyFont="1" applyBorder="1"/>
    <xf numFmtId="0" fontId="10" fillId="0" borderId="5" xfId="0" applyFont="1" applyBorder="1"/>
    <xf numFmtId="0" fontId="8" fillId="5" borderId="0" xfId="1" applyFont="1" applyFill="1" applyBorder="1" applyAlignment="1"/>
    <xf numFmtId="0" fontId="8" fillId="2" borderId="0" xfId="1" applyFont="1" applyAlignment="1">
      <alignment horizontal="centerContinuous" wrapText="1"/>
    </xf>
    <xf numFmtId="0" fontId="12" fillId="2" borderId="0" xfId="1" applyFont="1"/>
    <xf numFmtId="0" fontId="8" fillId="2" borderId="0" xfId="1" applyFont="1" applyAlignment="1">
      <alignment horizontal="centerContinuous"/>
    </xf>
    <xf numFmtId="0" fontId="12" fillId="2" borderId="0" xfId="1" applyFont="1" applyAlignment="1">
      <alignment horizontal="centerContinuous"/>
    </xf>
    <xf numFmtId="0" fontId="11" fillId="0" borderId="38" xfId="0" applyFont="1" applyBorder="1"/>
    <xf numFmtId="0" fontId="9" fillId="3" borderId="27" xfId="2" applyFont="1" applyBorder="1" applyAlignment="1">
      <alignment horizontal="left" vertical="top"/>
    </xf>
    <xf numFmtId="0" fontId="10" fillId="0" borderId="27" xfId="0" applyFont="1" applyBorder="1" applyAlignment="1">
      <alignment horizontal="center"/>
    </xf>
    <xf numFmtId="0" fontId="9" fillId="0" borderId="33" xfId="0" applyFont="1" applyBorder="1" applyAlignment="1">
      <alignment horizontal="left" vertical="top"/>
    </xf>
    <xf numFmtId="0" fontId="10" fillId="0" borderId="33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9" fillId="0" borderId="26" xfId="0" applyFont="1" applyBorder="1" applyAlignment="1">
      <alignment horizontal="left" vertical="top"/>
    </xf>
    <xf numFmtId="0" fontId="10" fillId="0" borderId="16" xfId="0" applyFont="1" applyBorder="1" applyAlignment="1">
      <alignment horizontal="center"/>
    </xf>
    <xf numFmtId="0" fontId="10" fillId="0" borderId="26" xfId="0" applyFont="1" applyBorder="1" applyAlignment="1">
      <alignment horizontal="left" vertical="top"/>
    </xf>
    <xf numFmtId="0" fontId="9" fillId="3" borderId="2" xfId="2" applyFont="1" applyBorder="1"/>
    <xf numFmtId="0" fontId="10" fillId="0" borderId="33" xfId="0" applyFont="1" applyBorder="1"/>
    <xf numFmtId="0" fontId="10" fillId="0" borderId="26" xfId="0" applyFont="1" applyBorder="1"/>
    <xf numFmtId="0" fontId="10" fillId="6" borderId="36" xfId="0" applyFont="1" applyFill="1" applyBorder="1"/>
    <xf numFmtId="0" fontId="10" fillId="6" borderId="37" xfId="0" applyFont="1" applyFill="1" applyBorder="1" applyAlignment="1">
      <alignment horizontal="center"/>
    </xf>
    <xf numFmtId="0" fontId="10" fillId="6" borderId="47" xfId="0" applyFont="1" applyFill="1" applyBorder="1"/>
    <xf numFmtId="0" fontId="10" fillId="6" borderId="0" xfId="0" applyFont="1" applyFill="1" applyBorder="1" applyAlignment="1">
      <alignment horizontal="center"/>
    </xf>
    <xf numFmtId="0" fontId="5" fillId="6" borderId="0" xfId="0" applyFont="1" applyFill="1"/>
    <xf numFmtId="0" fontId="10" fillId="0" borderId="2" xfId="0" applyFont="1" applyBorder="1"/>
    <xf numFmtId="0" fontId="5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7" xfId="0" applyFont="1" applyBorder="1"/>
    <xf numFmtId="0" fontId="5" fillId="0" borderId="18" xfId="0" applyFont="1" applyBorder="1" applyAlignment="1">
      <alignment horizontal="center"/>
    </xf>
    <xf numFmtId="0" fontId="9" fillId="3" borderId="28" xfId="2" applyFont="1" applyBorder="1" applyAlignment="1">
      <alignment horizontal="left" vertical="top"/>
    </xf>
    <xf numFmtId="0" fontId="10" fillId="0" borderId="34" xfId="0" applyFont="1" applyBorder="1" applyAlignment="1">
      <alignment horizontal="left" vertical="top"/>
    </xf>
    <xf numFmtId="0" fontId="10" fillId="0" borderId="31" xfId="0" applyFont="1" applyBorder="1" applyAlignment="1">
      <alignment horizontal="left" vertical="top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/>
    </xf>
    <xf numFmtId="0" fontId="14" fillId="0" borderId="0" xfId="0" applyFont="1" applyBorder="1" applyAlignment="1">
      <alignment vertical="top"/>
    </xf>
    <xf numFmtId="0" fontId="14" fillId="0" borderId="0" xfId="0" applyFont="1" applyBorder="1" applyAlignment="1">
      <alignment horizontal="center"/>
    </xf>
    <xf numFmtId="0" fontId="9" fillId="0" borderId="30" xfId="0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9" fillId="3" borderId="55" xfId="2" applyFont="1" applyBorder="1" applyAlignment="1">
      <alignment horizontal="left" vertical="top"/>
    </xf>
    <xf numFmtId="0" fontId="9" fillId="0" borderId="49" xfId="0" applyFont="1" applyBorder="1" applyAlignment="1">
      <alignment horizontal="left" vertical="top"/>
    </xf>
    <xf numFmtId="0" fontId="9" fillId="0" borderId="56" xfId="0" applyFont="1" applyBorder="1" applyAlignment="1">
      <alignment horizontal="left" vertical="top" textRotation="255"/>
    </xf>
    <xf numFmtId="0" fontId="6" fillId="0" borderId="57" xfId="0" applyFont="1" applyBorder="1" applyAlignment="1">
      <alignment horizontal="centerContinuous"/>
    </xf>
    <xf numFmtId="0" fontId="5" fillId="0" borderId="58" xfId="0" applyFont="1" applyBorder="1" applyAlignment="1">
      <alignment horizontal="centerContinuous"/>
    </xf>
    <xf numFmtId="0" fontId="5" fillId="0" borderId="59" xfId="0" applyFont="1" applyBorder="1" applyAlignment="1">
      <alignment horizontal="centerContinuous"/>
    </xf>
    <xf numFmtId="0" fontId="5" fillId="0" borderId="60" xfId="0" applyFont="1" applyBorder="1" applyAlignment="1">
      <alignment horizontal="centerContinuous"/>
    </xf>
    <xf numFmtId="0" fontId="10" fillId="6" borderId="61" xfId="0" applyFont="1" applyFill="1" applyBorder="1"/>
    <xf numFmtId="0" fontId="10" fillId="6" borderId="62" xfId="0" applyFont="1" applyFill="1" applyBorder="1" applyAlignment="1">
      <alignment horizontal="center"/>
    </xf>
    <xf numFmtId="0" fontId="11" fillId="6" borderId="63" xfId="0" applyFont="1" applyFill="1" applyBorder="1"/>
    <xf numFmtId="0" fontId="11" fillId="6" borderId="46" xfId="0" applyFont="1" applyFill="1" applyBorder="1"/>
    <xf numFmtId="0" fontId="11" fillId="6" borderId="64" xfId="0" applyFont="1" applyFill="1" applyBorder="1"/>
    <xf numFmtId="0" fontId="9" fillId="3" borderId="27" xfId="2" applyFont="1" applyBorder="1"/>
    <xf numFmtId="0" fontId="10" fillId="0" borderId="30" xfId="0" applyFont="1" applyBorder="1"/>
    <xf numFmtId="0" fontId="10" fillId="6" borderId="21" xfId="0" applyFont="1" applyFill="1" applyBorder="1"/>
    <xf numFmtId="0" fontId="10" fillId="6" borderId="15" xfId="0" applyFont="1" applyFill="1" applyBorder="1" applyAlignment="1">
      <alignment horizontal="center"/>
    </xf>
    <xf numFmtId="0" fontId="11" fillId="6" borderId="43" xfId="0" applyFont="1" applyFill="1" applyBorder="1"/>
    <xf numFmtId="0" fontId="11" fillId="6" borderId="44" xfId="0" applyFont="1" applyFill="1" applyBorder="1"/>
    <xf numFmtId="0" fontId="11" fillId="6" borderId="39" xfId="0" applyFont="1" applyFill="1" applyBorder="1"/>
    <xf numFmtId="0" fontId="11" fillId="6" borderId="47" xfId="0" applyFont="1" applyFill="1" applyBorder="1"/>
    <xf numFmtId="0" fontId="11" fillId="6" borderId="0" xfId="0" applyFont="1" applyFill="1" applyBorder="1"/>
    <xf numFmtId="0" fontId="11" fillId="6" borderId="48" xfId="0" applyFont="1" applyFill="1" applyBorder="1"/>
    <xf numFmtId="0" fontId="11" fillId="6" borderId="47" xfId="0" applyFont="1" applyFill="1" applyBorder="1" applyAlignment="1">
      <alignment wrapText="1"/>
    </xf>
    <xf numFmtId="0" fontId="11" fillId="6" borderId="0" xfId="0" applyFont="1" applyFill="1" applyBorder="1" applyAlignment="1">
      <alignment wrapText="1"/>
    </xf>
    <xf numFmtId="0" fontId="11" fillId="6" borderId="48" xfId="0" applyFont="1" applyFill="1" applyBorder="1" applyAlignment="1">
      <alignment wrapText="1"/>
    </xf>
    <xf numFmtId="0" fontId="15" fillId="0" borderId="13" xfId="0" applyFont="1" applyBorder="1"/>
    <xf numFmtId="0" fontId="15" fillId="0" borderId="35" xfId="0" applyFont="1" applyBorder="1"/>
    <xf numFmtId="0" fontId="15" fillId="0" borderId="41" xfId="0" applyFont="1" applyBorder="1"/>
    <xf numFmtId="0" fontId="15" fillId="0" borderId="29" xfId="0" applyFont="1" applyBorder="1"/>
    <xf numFmtId="0" fontId="15" fillId="0" borderId="12" xfId="0" applyFont="1" applyBorder="1"/>
    <xf numFmtId="0" fontId="15" fillId="0" borderId="25" xfId="0" applyFont="1" applyBorder="1"/>
    <xf numFmtId="0" fontId="15" fillId="0" borderId="32" xfId="0" applyFont="1" applyBorder="1"/>
    <xf numFmtId="0" fontId="15" fillId="0" borderId="0" xfId="0" applyFont="1"/>
    <xf numFmtId="0" fontId="15" fillId="0" borderId="33" xfId="0" applyFont="1" applyFill="1" applyBorder="1"/>
    <xf numFmtId="0" fontId="15" fillId="0" borderId="34" xfId="0" applyFont="1" applyFill="1" applyBorder="1"/>
    <xf numFmtId="0" fontId="15" fillId="0" borderId="35" xfId="0" applyFont="1" applyFill="1" applyBorder="1"/>
    <xf numFmtId="0" fontId="15" fillId="0" borderId="5" xfId="0" applyFont="1" applyFill="1" applyBorder="1"/>
    <xf numFmtId="0" fontId="15" fillId="0" borderId="6" xfId="0" applyFont="1" applyFill="1" applyBorder="1"/>
    <xf numFmtId="0" fontId="15" fillId="0" borderId="24" xfId="0" applyFont="1" applyFill="1" applyBorder="1"/>
    <xf numFmtId="0" fontId="15" fillId="0" borderId="35" xfId="0" applyFont="1" applyBorder="1"/>
    <xf numFmtId="0" fontId="15" fillId="0" borderId="29" xfId="0" applyFont="1" applyBorder="1"/>
    <xf numFmtId="0" fontId="11" fillId="6" borderId="39" xfId="0" applyFont="1" applyFill="1" applyBorder="1"/>
    <xf numFmtId="0" fontId="11" fillId="0" borderId="32" xfId="0" applyFont="1" applyBorder="1"/>
    <xf numFmtId="0" fontId="11" fillId="0" borderId="33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5" fillId="0" borderId="30" xfId="0" applyFont="1" applyBorder="1" applyAlignment="1">
      <alignment wrapText="1"/>
    </xf>
    <xf numFmtId="0" fontId="15" fillId="0" borderId="31" xfId="0" applyFont="1" applyBorder="1" applyAlignment="1">
      <alignment wrapText="1"/>
    </xf>
    <xf numFmtId="0" fontId="15" fillId="0" borderId="32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5" fillId="0" borderId="22" xfId="0" applyFont="1" applyBorder="1" applyAlignment="1">
      <alignment wrapText="1"/>
    </xf>
    <xf numFmtId="0" fontId="11" fillId="0" borderId="5" xfId="0" applyFont="1" applyBorder="1" applyAlignment="1">
      <alignment wrapText="1"/>
    </xf>
    <xf numFmtId="0" fontId="11" fillId="0" borderId="6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1" fillId="0" borderId="2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5" xfId="0" applyFont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1" fillId="0" borderId="24" xfId="0" applyFont="1" applyBorder="1" applyAlignment="1">
      <alignment horizontal="left" wrapText="1"/>
    </xf>
    <xf numFmtId="0" fontId="15" fillId="0" borderId="27" xfId="0" applyFont="1" applyFill="1" applyBorder="1" applyAlignment="1">
      <alignment wrapText="1"/>
    </xf>
    <xf numFmtId="0" fontId="15" fillId="0" borderId="28" xfId="0" applyFont="1" applyFill="1" applyBorder="1" applyAlignment="1">
      <alignment wrapText="1"/>
    </xf>
    <xf numFmtId="0" fontId="15" fillId="0" borderId="29" xfId="0" applyFont="1" applyFill="1" applyBorder="1" applyAlignment="1">
      <alignment wrapText="1"/>
    </xf>
    <xf numFmtId="0" fontId="15" fillId="0" borderId="33" xfId="0" applyFont="1" applyBorder="1" applyAlignment="1">
      <alignment wrapText="1"/>
    </xf>
    <xf numFmtId="0" fontId="15" fillId="0" borderId="34" xfId="0" applyFont="1" applyBorder="1" applyAlignment="1">
      <alignment wrapText="1"/>
    </xf>
    <xf numFmtId="0" fontId="15" fillId="0" borderId="35" xfId="0" applyFont="1" applyBorder="1" applyAlignment="1">
      <alignment wrapText="1"/>
    </xf>
    <xf numFmtId="0" fontId="15" fillId="0" borderId="5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11" fillId="0" borderId="43" xfId="0" applyFont="1" applyBorder="1"/>
    <xf numFmtId="0" fontId="11" fillId="0" borderId="44" xfId="0" applyFont="1" applyBorder="1"/>
    <xf numFmtId="0" fontId="11" fillId="0" borderId="39" xfId="0" applyFont="1" applyBorder="1"/>
    <xf numFmtId="0" fontId="15" fillId="0" borderId="6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1" xfId="0" applyFont="1" applyBorder="1"/>
    <xf numFmtId="0" fontId="15" fillId="0" borderId="22" xfId="0" applyFont="1" applyBorder="1"/>
    <xf numFmtId="0" fontId="15" fillId="0" borderId="7" xfId="0" applyFont="1" applyBorder="1"/>
    <xf numFmtId="0" fontId="15" fillId="0" borderId="34" xfId="0" applyFont="1" applyBorder="1"/>
    <xf numFmtId="0" fontId="15" fillId="0" borderId="35" xfId="0" applyFont="1" applyBorder="1"/>
    <xf numFmtId="0" fontId="15" fillId="0" borderId="3" xfId="0" applyFont="1" applyBorder="1"/>
    <xf numFmtId="0" fontId="15" fillId="0" borderId="23" xfId="0" applyFont="1" applyBorder="1"/>
    <xf numFmtId="0" fontId="15" fillId="0" borderId="27" xfId="0" applyFont="1" applyFill="1" applyBorder="1"/>
    <xf numFmtId="0" fontId="15" fillId="0" borderId="28" xfId="0" applyFont="1" applyFill="1" applyBorder="1"/>
    <xf numFmtId="0" fontId="15" fillId="0" borderId="29" xfId="0" applyFont="1" applyFill="1" applyBorder="1"/>
    <xf numFmtId="0" fontId="15" fillId="0" borderId="33" xfId="0" applyFont="1" applyFill="1" applyBorder="1" applyAlignment="1">
      <alignment horizontal="left" vertical="top" wrapText="1"/>
    </xf>
    <xf numFmtId="0" fontId="15" fillId="0" borderId="34" xfId="0" applyFont="1" applyFill="1" applyBorder="1" applyAlignment="1">
      <alignment horizontal="left" vertical="top" wrapText="1"/>
    </xf>
    <xf numFmtId="0" fontId="15" fillId="0" borderId="35" xfId="0" applyFont="1" applyFill="1" applyBorder="1" applyAlignment="1">
      <alignment horizontal="left" vertical="top" wrapText="1"/>
    </xf>
    <xf numFmtId="0" fontId="11" fillId="0" borderId="33" xfId="0" applyFont="1" applyFill="1" applyBorder="1" applyAlignment="1">
      <alignment horizontal="left" wrapText="1"/>
    </xf>
    <xf numFmtId="0" fontId="11" fillId="0" borderId="34" xfId="0" applyFont="1" applyFill="1" applyBorder="1" applyAlignment="1">
      <alignment horizontal="left" wrapText="1"/>
    </xf>
    <xf numFmtId="0" fontId="11" fillId="0" borderId="35" xfId="0" applyFont="1" applyFill="1" applyBorder="1" applyAlignment="1">
      <alignment horizontal="left" wrapText="1"/>
    </xf>
    <xf numFmtId="0" fontId="11" fillId="0" borderId="47" xfId="0" applyFont="1" applyBorder="1" applyAlignment="1">
      <alignment wrapText="1"/>
    </xf>
    <xf numFmtId="0" fontId="11" fillId="0" borderId="0" xfId="0" applyFont="1" applyBorder="1" applyAlignment="1">
      <alignment wrapText="1"/>
    </xf>
    <xf numFmtId="0" fontId="11" fillId="0" borderId="48" xfId="0" applyFont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1" fillId="0" borderId="34" xfId="0" applyFont="1" applyFill="1" applyBorder="1" applyAlignment="1">
      <alignment wrapText="1"/>
    </xf>
    <xf numFmtId="0" fontId="11" fillId="0" borderId="35" xfId="0" applyFont="1" applyFill="1" applyBorder="1" applyAlignment="1">
      <alignment wrapText="1"/>
    </xf>
    <xf numFmtId="0" fontId="15" fillId="0" borderId="33" xfId="0" applyFont="1" applyFill="1" applyBorder="1" applyAlignment="1">
      <alignment wrapText="1"/>
    </xf>
    <xf numFmtId="0" fontId="15" fillId="0" borderId="34" xfId="0" applyFont="1" applyFill="1" applyBorder="1" applyAlignment="1">
      <alignment wrapText="1"/>
    </xf>
    <xf numFmtId="0" fontId="15" fillId="0" borderId="35" xfId="0" applyFont="1" applyFill="1" applyBorder="1" applyAlignment="1">
      <alignment wrapText="1"/>
    </xf>
    <xf numFmtId="0" fontId="15" fillId="0" borderId="27" xfId="0" applyFont="1" applyBorder="1" applyAlignment="1">
      <alignment horizontal="left" wrapText="1"/>
    </xf>
    <xf numFmtId="0" fontId="15" fillId="0" borderId="28" xfId="0" applyFont="1" applyBorder="1" applyAlignment="1">
      <alignment horizontal="left" wrapText="1"/>
    </xf>
    <xf numFmtId="0" fontId="15" fillId="0" borderId="29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1" fillId="0" borderId="34" xfId="0" applyFont="1" applyBorder="1" applyAlignment="1">
      <alignment horizontal="left" wrapText="1"/>
    </xf>
    <xf numFmtId="0" fontId="11" fillId="0" borderId="35" xfId="0" applyFont="1" applyBorder="1" applyAlignment="1">
      <alignment horizontal="left" wrapText="1"/>
    </xf>
    <xf numFmtId="0" fontId="15" fillId="0" borderId="27" xfId="0" applyFont="1" applyFill="1" applyBorder="1" applyAlignment="1">
      <alignment horizontal="left" wrapText="1"/>
    </xf>
    <xf numFmtId="0" fontId="15" fillId="0" borderId="28" xfId="0" applyFont="1" applyFill="1" applyBorder="1" applyAlignment="1">
      <alignment horizontal="left" wrapText="1"/>
    </xf>
    <xf numFmtId="0" fontId="15" fillId="0" borderId="29" xfId="0" applyFont="1" applyFill="1" applyBorder="1" applyAlignment="1">
      <alignment horizontal="left" wrapText="1"/>
    </xf>
    <xf numFmtId="0" fontId="15" fillId="0" borderId="47" xfId="0" applyFont="1" applyBorder="1" applyAlignment="1">
      <alignment wrapText="1"/>
    </xf>
    <xf numFmtId="0" fontId="15" fillId="0" borderId="0" xfId="0" applyFont="1" applyBorder="1" applyAlignment="1">
      <alignment wrapText="1"/>
    </xf>
    <xf numFmtId="0" fontId="15" fillId="0" borderId="48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22" xfId="0" applyFont="1" applyFill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23" xfId="0" applyFont="1" applyBorder="1" applyAlignment="1">
      <alignment horizontal="left" wrapText="1"/>
    </xf>
    <xf numFmtId="0" fontId="8" fillId="2" borderId="46" xfId="1" applyFont="1" applyBorder="1" applyAlignment="1">
      <alignment horizontal="left" wrapText="1"/>
    </xf>
    <xf numFmtId="0" fontId="15" fillId="0" borderId="26" xfId="0" applyFont="1" applyBorder="1" applyAlignment="1">
      <alignment horizontal="left" wrapText="1"/>
    </xf>
    <xf numFmtId="0" fontId="15" fillId="0" borderId="53" xfId="0" applyFont="1" applyBorder="1" applyAlignment="1">
      <alignment horizontal="left" wrapText="1"/>
    </xf>
    <xf numFmtId="0" fontId="11" fillId="0" borderId="53" xfId="0" applyFont="1" applyBorder="1" applyAlignment="1">
      <alignment horizontal="left" wrapText="1"/>
    </xf>
    <xf numFmtId="0" fontId="11" fillId="0" borderId="65" xfId="0" applyFont="1" applyBorder="1" applyAlignment="1">
      <alignment horizontal="left" wrapText="1"/>
    </xf>
    <xf numFmtId="0" fontId="11" fillId="0" borderId="26" xfId="0" applyFont="1" applyBorder="1" applyAlignment="1">
      <alignment vertical="center" wrapText="1"/>
    </xf>
    <xf numFmtId="0" fontId="11" fillId="0" borderId="53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5" fillId="0" borderId="4" xfId="0" applyFont="1" applyFill="1" applyBorder="1" applyAlignment="1">
      <alignment horizontal="left" wrapText="1"/>
    </xf>
    <xf numFmtId="0" fontId="15" fillId="0" borderId="1" xfId="0" applyFont="1" applyFill="1" applyBorder="1" applyAlignment="1">
      <alignment horizontal="left" wrapText="1"/>
    </xf>
    <xf numFmtId="0" fontId="15" fillId="0" borderId="22" xfId="0" applyFont="1" applyFill="1" applyBorder="1" applyAlignment="1">
      <alignment horizontal="left" wrapText="1"/>
    </xf>
    <xf numFmtId="0" fontId="11" fillId="0" borderId="42" xfId="0" applyFont="1" applyBorder="1" applyAlignment="1">
      <alignment wrapText="1"/>
    </xf>
    <xf numFmtId="0" fontId="11" fillId="0" borderId="40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5" fillId="0" borderId="26" xfId="0" applyFont="1" applyFill="1" applyBorder="1" applyAlignment="1">
      <alignment horizontal="left" wrapText="1"/>
    </xf>
    <xf numFmtId="0" fontId="15" fillId="0" borderId="53" xfId="0" applyFont="1" applyFill="1" applyBorder="1" applyAlignment="1">
      <alignment horizontal="left" wrapText="1"/>
    </xf>
    <xf numFmtId="0" fontId="15" fillId="0" borderId="65" xfId="0" applyFont="1" applyFill="1" applyBorder="1" applyAlignment="1">
      <alignment horizontal="left" wrapText="1"/>
    </xf>
    <xf numFmtId="0" fontId="15" fillId="0" borderId="33" xfId="0" applyFont="1" applyFill="1" applyBorder="1" applyAlignment="1">
      <alignment horizontal="left" wrapText="1"/>
    </xf>
    <xf numFmtId="0" fontId="15" fillId="0" borderId="34" xfId="0" applyFont="1" applyFill="1" applyBorder="1" applyAlignment="1">
      <alignment horizontal="left" wrapText="1"/>
    </xf>
    <xf numFmtId="0" fontId="15" fillId="0" borderId="35" xfId="0" applyFont="1" applyFill="1" applyBorder="1" applyAlignment="1">
      <alignment horizontal="left" wrapText="1"/>
    </xf>
    <xf numFmtId="0" fontId="15" fillId="0" borderId="49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5" fillId="0" borderId="6" xfId="0" applyFont="1" applyBorder="1" applyAlignment="1">
      <alignment wrapText="1"/>
    </xf>
    <xf numFmtId="0" fontId="15" fillId="0" borderId="24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5" fillId="0" borderId="23" xfId="0" applyFont="1" applyBorder="1" applyAlignment="1">
      <alignment wrapText="1"/>
    </xf>
    <xf numFmtId="0" fontId="15" fillId="0" borderId="21" xfId="0" applyFont="1" applyFill="1" applyBorder="1" applyAlignment="1">
      <alignment wrapText="1"/>
    </xf>
    <xf numFmtId="0" fontId="15" fillId="0" borderId="10" xfId="0" applyFont="1" applyFill="1" applyBorder="1" applyAlignment="1">
      <alignment wrapText="1"/>
    </xf>
    <xf numFmtId="0" fontId="15" fillId="0" borderId="45" xfId="0" applyFont="1" applyFill="1" applyBorder="1" applyAlignment="1">
      <alignment wrapText="1"/>
    </xf>
    <xf numFmtId="0" fontId="15" fillId="0" borderId="43" xfId="0" applyFont="1" applyFill="1" applyBorder="1" applyAlignment="1">
      <alignment wrapText="1"/>
    </xf>
    <xf numFmtId="0" fontId="15" fillId="0" borderId="44" xfId="0" applyFont="1" applyFill="1" applyBorder="1" applyAlignment="1">
      <alignment wrapText="1"/>
    </xf>
    <xf numFmtId="0" fontId="15" fillId="0" borderId="39" xfId="0" applyFont="1" applyFill="1" applyBorder="1" applyAlignment="1">
      <alignment wrapText="1"/>
    </xf>
    <xf numFmtId="0" fontId="15" fillId="0" borderId="24" xfId="0" applyFont="1" applyBorder="1" applyAlignment="1">
      <alignment horizontal="left" wrapText="1"/>
    </xf>
    <xf numFmtId="0" fontId="13" fillId="0" borderId="54" xfId="0" applyFont="1" applyBorder="1" applyAlignment="1">
      <alignment wrapText="1"/>
    </xf>
    <xf numFmtId="0" fontId="15" fillId="0" borderId="4" xfId="0" applyFont="1" applyFill="1" applyBorder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22" xfId="0" applyFont="1" applyFill="1" applyBorder="1" applyAlignment="1">
      <alignment wrapText="1"/>
    </xf>
    <xf numFmtId="0" fontId="11" fillId="0" borderId="27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5" fillId="0" borderId="33" xfId="0" applyFont="1" applyFill="1" applyBorder="1"/>
    <xf numFmtId="0" fontId="15" fillId="0" borderId="34" xfId="0" applyFont="1" applyFill="1" applyBorder="1"/>
    <xf numFmtId="0" fontId="15" fillId="0" borderId="35" xfId="0" applyFont="1" applyFill="1" applyBorder="1"/>
    <xf numFmtId="0" fontId="15" fillId="0" borderId="42" xfId="0" applyFont="1" applyBorder="1" applyAlignment="1">
      <alignment wrapText="1"/>
    </xf>
    <xf numFmtId="0" fontId="15" fillId="0" borderId="40" xfId="0" applyFont="1" applyBorder="1" applyAlignment="1">
      <alignment wrapText="1"/>
    </xf>
    <xf numFmtId="0" fontId="15" fillId="0" borderId="41" xfId="0" applyFont="1" applyBorder="1" applyAlignment="1">
      <alignment wrapText="1"/>
    </xf>
    <xf numFmtId="0" fontId="15" fillId="0" borderId="42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15" fillId="0" borderId="33" xfId="0" applyFont="1" applyBorder="1" applyAlignment="1">
      <alignment horizontal="left" wrapText="1"/>
    </xf>
    <xf numFmtId="0" fontId="15" fillId="0" borderId="34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30" xfId="0" applyFont="1" applyFill="1" applyBorder="1" applyAlignment="1">
      <alignment horizontal="left" wrapText="1"/>
    </xf>
    <xf numFmtId="0" fontId="15" fillId="0" borderId="31" xfId="0" applyFont="1" applyFill="1" applyBorder="1" applyAlignment="1">
      <alignment horizontal="left" wrapText="1"/>
    </xf>
    <xf numFmtId="0" fontId="15" fillId="0" borderId="32" xfId="0" applyFont="1" applyFill="1" applyBorder="1" applyAlignment="1">
      <alignment horizontal="left" wrapText="1"/>
    </xf>
    <xf numFmtId="0" fontId="11" fillId="6" borderId="43" xfId="0" applyFont="1" applyFill="1" applyBorder="1"/>
    <xf numFmtId="0" fontId="11" fillId="6" borderId="44" xfId="0" applyFont="1" applyFill="1" applyBorder="1"/>
    <xf numFmtId="0" fontId="11" fillId="6" borderId="39" xfId="0" applyFont="1" applyFill="1" applyBorder="1"/>
    <xf numFmtId="0" fontId="11" fillId="6" borderId="43" xfId="0" applyFont="1" applyFill="1" applyBorder="1" applyAlignment="1">
      <alignment wrapText="1"/>
    </xf>
    <xf numFmtId="0" fontId="11" fillId="6" borderId="44" xfId="0" applyFont="1" applyFill="1" applyBorder="1" applyAlignment="1">
      <alignment wrapText="1"/>
    </xf>
    <xf numFmtId="0" fontId="11" fillId="6" borderId="39" xfId="0" applyFont="1" applyFill="1" applyBorder="1" applyAlignment="1">
      <alignment wrapText="1"/>
    </xf>
    <xf numFmtId="0" fontId="11" fillId="0" borderId="30" xfId="0" applyFont="1" applyFill="1" applyBorder="1"/>
    <xf numFmtId="0" fontId="11" fillId="0" borderId="31" xfId="0" applyFont="1" applyFill="1" applyBorder="1"/>
    <xf numFmtId="0" fontId="11" fillId="0" borderId="32" xfId="0" applyFont="1" applyFill="1" applyBorder="1"/>
    <xf numFmtId="0" fontId="11" fillId="0" borderId="33" xfId="0" applyFont="1" applyFill="1" applyBorder="1"/>
    <xf numFmtId="0" fontId="11" fillId="0" borderId="34" xfId="0" applyFont="1" applyFill="1" applyBorder="1"/>
    <xf numFmtId="0" fontId="11" fillId="0" borderId="35" xfId="0" applyFont="1" applyFill="1" applyBorder="1"/>
    <xf numFmtId="0" fontId="15" fillId="0" borderId="43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39" xfId="0" applyFont="1" applyBorder="1" applyAlignment="1">
      <alignment vertical="center"/>
    </xf>
    <xf numFmtId="0" fontId="11" fillId="0" borderId="4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5" fillId="0" borderId="5" xfId="0" applyFont="1" applyFill="1" applyBorder="1" applyAlignment="1">
      <alignment horizontal="left" wrapText="1"/>
    </xf>
    <xf numFmtId="0" fontId="15" fillId="0" borderId="6" xfId="0" applyFont="1" applyFill="1" applyBorder="1" applyAlignment="1">
      <alignment horizontal="left" wrapText="1"/>
    </xf>
    <xf numFmtId="0" fontId="15" fillId="0" borderId="24" xfId="0" applyFont="1" applyFill="1" applyBorder="1" applyAlignment="1">
      <alignment horizontal="left" wrapText="1"/>
    </xf>
    <xf numFmtId="0" fontId="15" fillId="0" borderId="3" xfId="0" applyFont="1" applyFill="1" applyBorder="1" applyAlignment="1">
      <alignment wrapText="1"/>
    </xf>
    <xf numFmtId="0" fontId="15" fillId="0" borderId="23" xfId="0" applyFont="1" applyFill="1" applyBorder="1" applyAlignment="1">
      <alignment wrapText="1"/>
    </xf>
    <xf numFmtId="0" fontId="15" fillId="0" borderId="27" xfId="0" applyFont="1" applyBorder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 applyAlignment="1">
      <alignment vertical="center" wrapText="1"/>
    </xf>
    <xf numFmtId="0" fontId="15" fillId="0" borderId="31" xfId="0" applyFont="1" applyBorder="1" applyAlignment="1">
      <alignment vertical="center" wrapText="1"/>
    </xf>
    <xf numFmtId="0" fontId="15" fillId="0" borderId="32" xfId="0" applyFont="1" applyBorder="1" applyAlignment="1">
      <alignment vertical="center" wrapText="1"/>
    </xf>
    <xf numFmtId="0" fontId="15" fillId="0" borderId="49" xfId="0" applyFont="1" applyFill="1" applyBorder="1" applyAlignment="1">
      <alignment wrapText="1"/>
    </xf>
    <xf numFmtId="0" fontId="15" fillId="0" borderId="7" xfId="0" applyFont="1" applyFill="1" applyBorder="1" applyAlignment="1">
      <alignment wrapText="1"/>
    </xf>
    <xf numFmtId="0" fontId="15" fillId="0" borderId="33" xfId="0" applyFont="1" applyBorder="1" applyAlignment="1">
      <alignment vertical="center" wrapText="1"/>
    </xf>
    <xf numFmtId="0" fontId="15" fillId="0" borderId="34" xfId="0" applyFont="1" applyBorder="1" applyAlignment="1">
      <alignment vertical="center" wrapText="1"/>
    </xf>
    <xf numFmtId="0" fontId="15" fillId="0" borderId="35" xfId="0" applyFont="1" applyBorder="1" applyAlignment="1">
      <alignment vertical="center" wrapText="1"/>
    </xf>
    <xf numFmtId="0" fontId="8" fillId="2" borderId="46" xfId="1" applyFont="1" applyBorder="1" applyAlignment="1">
      <alignment wrapText="1"/>
    </xf>
    <xf numFmtId="0" fontId="15" fillId="0" borderId="43" xfId="0" applyFont="1" applyFill="1" applyBorder="1"/>
    <xf numFmtId="0" fontId="15" fillId="0" borderId="44" xfId="0" applyFont="1" applyFill="1" applyBorder="1"/>
    <xf numFmtId="0" fontId="15" fillId="0" borderId="39" xfId="0" applyFont="1" applyFill="1" applyBorder="1"/>
    <xf numFmtId="0" fontId="15" fillId="0" borderId="42" xfId="0" applyFont="1" applyFill="1" applyBorder="1" applyAlignment="1">
      <alignment horizontal="left" wrapText="1"/>
    </xf>
    <xf numFmtId="0" fontId="15" fillId="0" borderId="40" xfId="0" applyFont="1" applyFill="1" applyBorder="1" applyAlignment="1">
      <alignment horizontal="left" wrapText="1"/>
    </xf>
    <xf numFmtId="0" fontId="15" fillId="0" borderId="41" xfId="0" applyFont="1" applyFill="1" applyBorder="1" applyAlignment="1">
      <alignment horizontal="left" wrapText="1"/>
    </xf>
    <xf numFmtId="0" fontId="11" fillId="0" borderId="27" xfId="0" applyFont="1" applyFill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11" fillId="0" borderId="29" xfId="0" applyFont="1" applyFill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5" fillId="0" borderId="26" xfId="0" applyFont="1" applyBorder="1" applyAlignment="1">
      <alignment vertical="center" wrapText="1"/>
    </xf>
    <xf numFmtId="0" fontId="15" fillId="0" borderId="53" xfId="0" applyFont="1" applyBorder="1" applyAlignment="1">
      <alignment vertical="center" wrapText="1"/>
    </xf>
    <xf numFmtId="0" fontId="11" fillId="0" borderId="56" xfId="0" applyFont="1" applyFill="1" applyBorder="1"/>
    <xf numFmtId="0" fontId="15" fillId="0" borderId="8" xfId="0" applyFont="1" applyFill="1" applyBorder="1"/>
    <xf numFmtId="0" fontId="15" fillId="0" borderId="32" xfId="0" applyFont="1" applyFill="1" applyBorder="1"/>
    <xf numFmtId="0" fontId="15" fillId="0" borderId="2" xfId="0" applyFont="1" applyFill="1" applyBorder="1"/>
    <xf numFmtId="0" fontId="15" fillId="0" borderId="3" xfId="0" applyFont="1" applyFill="1" applyBorder="1"/>
    <xf numFmtId="0" fontId="15" fillId="0" borderId="23" xfId="0" applyFont="1" applyFill="1" applyBorder="1"/>
    <xf numFmtId="0" fontId="8" fillId="2" borderId="0" xfId="1" applyFont="1" applyBorder="1" applyAlignment="1">
      <alignment wrapText="1"/>
    </xf>
    <xf numFmtId="0" fontId="15" fillId="0" borderId="2" xfId="0" applyFont="1" applyFill="1" applyBorder="1" applyAlignment="1">
      <alignment horizontal="left" wrapText="1"/>
    </xf>
    <xf numFmtId="0" fontId="15" fillId="0" borderId="3" xfId="0" applyFont="1" applyFill="1" applyBorder="1" applyAlignment="1">
      <alignment horizontal="left" wrapText="1"/>
    </xf>
    <xf numFmtId="0" fontId="15" fillId="0" borderId="23" xfId="0" applyFont="1" applyFill="1" applyBorder="1" applyAlignment="1">
      <alignment horizontal="left" wrapText="1"/>
    </xf>
    <xf numFmtId="0" fontId="15" fillId="0" borderId="27" xfId="0" applyFont="1" applyBorder="1" applyAlignment="1">
      <alignment wrapText="1"/>
    </xf>
    <xf numFmtId="0" fontId="15" fillId="0" borderId="28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1" fillId="0" borderId="49" xfId="0" applyFont="1" applyBorder="1" applyAlignment="1">
      <alignment wrapText="1"/>
    </xf>
    <xf numFmtId="0" fontId="15" fillId="0" borderId="7" xfId="0" applyFont="1" applyBorder="1" applyAlignment="1">
      <alignment wrapText="1"/>
    </xf>
    <xf numFmtId="0" fontId="15" fillId="0" borderId="4" xfId="0" applyFont="1" applyBorder="1"/>
    <xf numFmtId="0" fontId="15" fillId="0" borderId="33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23" xfId="0" applyFont="1" applyBorder="1"/>
    <xf numFmtId="0" fontId="11" fillId="0" borderId="30" xfId="0" applyFont="1" applyFill="1" applyBorder="1" applyAlignment="1">
      <alignment wrapText="1"/>
    </xf>
    <xf numFmtId="0" fontId="11" fillId="0" borderId="31" xfId="0" applyFont="1" applyFill="1" applyBorder="1" applyAlignment="1">
      <alignment wrapText="1"/>
    </xf>
    <xf numFmtId="0" fontId="11" fillId="0" borderId="32" xfId="0" applyFont="1" applyFill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5" fillId="0" borderId="33" xfId="0" applyFont="1" applyBorder="1" applyAlignment="1"/>
    <xf numFmtId="0" fontId="15" fillId="0" borderId="34" xfId="0" applyFont="1" applyBorder="1" applyAlignment="1"/>
    <xf numFmtId="0" fontId="15" fillId="0" borderId="35" xfId="0" applyFont="1" applyBorder="1" applyAlignment="1"/>
    <xf numFmtId="0" fontId="15" fillId="0" borderId="30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4" xfId="0" applyFont="1" applyFill="1" applyBorder="1"/>
    <xf numFmtId="0" fontId="15" fillId="0" borderId="1" xfId="0" applyFont="1" applyFill="1" applyBorder="1"/>
    <xf numFmtId="0" fontId="15" fillId="0" borderId="22" xfId="0" applyFont="1" applyFill="1" applyBorder="1"/>
    <xf numFmtId="0" fontId="11" fillId="0" borderId="21" xfId="0" applyFont="1" applyFill="1" applyBorder="1" applyAlignment="1">
      <alignment wrapText="1"/>
    </xf>
    <xf numFmtId="0" fontId="11" fillId="0" borderId="10" xfId="0" applyFont="1" applyFill="1" applyBorder="1" applyAlignment="1">
      <alignment wrapText="1"/>
    </xf>
    <xf numFmtId="0" fontId="11" fillId="0" borderId="45" xfId="0" applyFont="1" applyFill="1" applyBorder="1" applyAlignment="1">
      <alignment wrapText="1"/>
    </xf>
    <xf numFmtId="0" fontId="15" fillId="0" borderId="4" xfId="0" applyFont="1" applyBorder="1" applyAlignment="1"/>
    <xf numFmtId="0" fontId="15" fillId="0" borderId="1" xfId="0" applyFont="1" applyBorder="1" applyAlignment="1"/>
    <xf numFmtId="0" fontId="15" fillId="0" borderId="22" xfId="0" applyFont="1" applyBorder="1" applyAlignment="1"/>
    <xf numFmtId="0" fontId="11" fillId="0" borderId="5" xfId="0" applyFont="1" applyFill="1" applyBorder="1" applyAlignment="1">
      <alignment wrapText="1"/>
    </xf>
    <xf numFmtId="0" fontId="11" fillId="0" borderId="6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5" fillId="0" borderId="50" xfId="0" applyFont="1" applyBorder="1" applyAlignment="1">
      <alignment horizontal="left" wrapText="1"/>
    </xf>
    <xf numFmtId="0" fontId="15" fillId="0" borderId="51" xfId="0" applyFont="1" applyBorder="1" applyAlignment="1">
      <alignment horizontal="left" wrapText="1"/>
    </xf>
    <xf numFmtId="0" fontId="15" fillId="0" borderId="52" xfId="0" applyFont="1" applyBorder="1" applyAlignment="1">
      <alignment horizontal="left" wrapText="1"/>
    </xf>
    <xf numFmtId="0" fontId="11" fillId="6" borderId="47" xfId="0" applyFont="1" applyFill="1" applyBorder="1"/>
    <xf numFmtId="0" fontId="11" fillId="6" borderId="0" xfId="0" applyFont="1" applyFill="1" applyBorder="1"/>
    <xf numFmtId="0" fontId="11" fillId="6" borderId="48" xfId="0" applyFont="1" applyFill="1" applyBorder="1"/>
    <xf numFmtId="0" fontId="11" fillId="0" borderId="3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0" xfId="0" applyFont="1" applyBorder="1"/>
    <xf numFmtId="0" fontId="11" fillId="0" borderId="31" xfId="0" applyFont="1" applyBorder="1"/>
    <xf numFmtId="0" fontId="11" fillId="0" borderId="32" xfId="0" applyFont="1" applyBorder="1"/>
    <xf numFmtId="0" fontId="11" fillId="0" borderId="21" xfId="0" applyFont="1" applyBorder="1"/>
    <xf numFmtId="0" fontId="11" fillId="0" borderId="10" xfId="0" applyFont="1" applyBorder="1"/>
    <xf numFmtId="0" fontId="11" fillId="0" borderId="45" xfId="0" applyFont="1" applyBorder="1"/>
    <xf numFmtId="0" fontId="11" fillId="0" borderId="33" xfId="0" applyFont="1" applyBorder="1" applyAlignment="1"/>
    <xf numFmtId="0" fontId="11" fillId="0" borderId="34" xfId="0" applyFont="1" applyBorder="1" applyAlignment="1"/>
    <xf numFmtId="0" fontId="11" fillId="0" borderId="35" xfId="0" applyFont="1" applyBorder="1" applyAlignment="1"/>
    <xf numFmtId="0" fontId="11" fillId="0" borderId="30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32" xfId="0" applyFont="1" applyBorder="1" applyAlignment="1">
      <alignment vertical="center" wrapText="1"/>
    </xf>
    <xf numFmtId="0" fontId="15" fillId="0" borderId="30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15" fillId="0" borderId="32" xfId="0" applyFont="1" applyBorder="1" applyAlignment="1">
      <alignment vertical="center"/>
    </xf>
    <xf numFmtId="0" fontId="11" fillId="0" borderId="33" xfId="0" applyFont="1" applyBorder="1"/>
    <xf numFmtId="0" fontId="11" fillId="0" borderId="34" xfId="0" applyFont="1" applyBorder="1"/>
    <xf numFmtId="0" fontId="11" fillId="0" borderId="35" xfId="0" applyFont="1" applyBorder="1"/>
    <xf numFmtId="0" fontId="15" fillId="0" borderId="30" xfId="0" applyFont="1" applyFill="1" applyBorder="1" applyAlignment="1">
      <alignment wrapText="1"/>
    </xf>
    <xf numFmtId="0" fontId="15" fillId="0" borderId="31" xfId="0" applyFont="1" applyFill="1" applyBorder="1" applyAlignment="1">
      <alignment wrapText="1"/>
    </xf>
    <xf numFmtId="0" fontId="15" fillId="0" borderId="32" xfId="0" applyFont="1" applyFill="1" applyBorder="1" applyAlignment="1">
      <alignment wrapText="1"/>
    </xf>
    <xf numFmtId="0" fontId="11" fillId="0" borderId="30" xfId="0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11" fillId="6" borderId="47" xfId="0" applyFont="1" applyFill="1" applyBorder="1" applyAlignment="1">
      <alignment wrapText="1"/>
    </xf>
    <xf numFmtId="0" fontId="11" fillId="6" borderId="0" xfId="0" applyFont="1" applyFill="1" applyBorder="1" applyAlignment="1">
      <alignment wrapText="1"/>
    </xf>
    <xf numFmtId="0" fontId="11" fillId="6" borderId="48" xfId="0" applyFont="1" applyFill="1" applyBorder="1" applyAlignment="1">
      <alignment wrapText="1"/>
    </xf>
    <xf numFmtId="0" fontId="15" fillId="0" borderId="1" xfId="0" applyFont="1" applyFill="1" applyBorder="1" applyAlignment="1"/>
    <xf numFmtId="0" fontId="15" fillId="0" borderId="22" xfId="0" applyFont="1" applyFill="1" applyBorder="1" applyAlignment="1"/>
    <xf numFmtId="0" fontId="15" fillId="0" borderId="6" xfId="0" applyFont="1" applyFill="1" applyBorder="1" applyAlignment="1">
      <alignment wrapText="1"/>
    </xf>
    <xf numFmtId="0" fontId="15" fillId="0" borderId="24" xfId="0" applyFont="1" applyFill="1" applyBorder="1" applyAlignment="1">
      <alignment wrapText="1"/>
    </xf>
    <xf numFmtId="0" fontId="15" fillId="0" borderId="30" xfId="0" applyFont="1" applyBorder="1" applyAlignment="1">
      <alignment horizontal="left" wrapText="1"/>
    </xf>
    <xf numFmtId="0" fontId="15" fillId="0" borderId="31" xfId="0" applyFont="1" applyBorder="1" applyAlignment="1">
      <alignment horizontal="left" wrapText="1"/>
    </xf>
    <xf numFmtId="0" fontId="15" fillId="0" borderId="32" xfId="0" applyFont="1" applyBorder="1" applyAlignment="1">
      <alignment horizontal="left" wrapText="1"/>
    </xf>
    <xf numFmtId="0" fontId="11" fillId="0" borderId="26" xfId="0" applyFont="1" applyFill="1" applyBorder="1" applyAlignment="1">
      <alignment wrapText="1"/>
    </xf>
    <xf numFmtId="0" fontId="11" fillId="0" borderId="53" xfId="0" applyFont="1" applyFill="1" applyBorder="1" applyAlignment="1">
      <alignment wrapText="1"/>
    </xf>
    <xf numFmtId="0" fontId="11" fillId="0" borderId="65" xfId="0" applyFont="1" applyFill="1" applyBorder="1" applyAlignment="1">
      <alignment wrapText="1"/>
    </xf>
    <xf numFmtId="0" fontId="15" fillId="0" borderId="2" xfId="0" applyFont="1" applyBorder="1"/>
    <xf numFmtId="0" fontId="11" fillId="0" borderId="26" xfId="0" applyFont="1" applyBorder="1"/>
    <xf numFmtId="0" fontId="11" fillId="0" borderId="53" xfId="0" applyFont="1" applyBorder="1"/>
    <xf numFmtId="0" fontId="11" fillId="0" borderId="65" xfId="0" applyFont="1" applyBorder="1"/>
    <xf numFmtId="0" fontId="11" fillId="0" borderId="42" xfId="0" applyFont="1" applyBorder="1"/>
    <xf numFmtId="0" fontId="11" fillId="0" borderId="40" xfId="0" applyFont="1" applyBorder="1"/>
    <xf numFmtId="0" fontId="11" fillId="0" borderId="41" xfId="0" applyFont="1" applyBorder="1"/>
    <xf numFmtId="0" fontId="11" fillId="0" borderId="30" xfId="0" applyFont="1" applyBorder="1" applyAlignment="1">
      <alignment horizontal="left" wrapText="1"/>
    </xf>
    <xf numFmtId="0" fontId="11" fillId="0" borderId="31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5" fillId="0" borderId="43" xfId="0" applyFont="1" applyBorder="1"/>
    <xf numFmtId="0" fontId="15" fillId="0" borderId="44" xfId="0" applyFont="1" applyBorder="1"/>
    <xf numFmtId="0" fontId="15" fillId="0" borderId="39" xfId="0" applyFont="1" applyBorder="1"/>
    <xf numFmtId="0" fontId="15" fillId="0" borderId="5" xfId="0" applyFont="1" applyFill="1" applyBorder="1" applyAlignment="1">
      <alignment wrapText="1"/>
    </xf>
    <xf numFmtId="0" fontId="15" fillId="0" borderId="42" xfId="0" applyFont="1" applyBorder="1"/>
    <xf numFmtId="0" fontId="15" fillId="0" borderId="40" xfId="0" applyFont="1" applyBorder="1"/>
    <xf numFmtId="0" fontId="15" fillId="0" borderId="41" xfId="0" applyFont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E10" zoomScaleNormal="100" workbookViewId="0">
      <selection activeCell="U17" sqref="U17"/>
    </sheetView>
  </sheetViews>
  <sheetFormatPr defaultColWidth="9.140625"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8.28515625" style="2" customWidth="1"/>
    <col min="5" max="5" width="18.140625" style="2" customWidth="1"/>
    <col min="6" max="6" width="23.85546875" style="2" customWidth="1"/>
    <col min="7" max="7" width="6.85546875" style="2" customWidth="1"/>
    <col min="8" max="8" width="10.140625" style="2" customWidth="1"/>
    <col min="9" max="9" width="20" style="2" customWidth="1"/>
    <col min="10" max="10" width="18.85546875" style="2" customWidth="1"/>
    <col min="11" max="11" width="17.7109375" style="2" customWidth="1"/>
    <col min="12" max="12" width="23.28515625" style="2" customWidth="1"/>
    <col min="13" max="13" width="6.85546875" style="2" customWidth="1"/>
    <col min="14" max="14" width="9.28515625" style="2" customWidth="1"/>
    <col min="15" max="15" width="20" style="2" customWidth="1"/>
    <col min="16" max="16" width="19.42578125" style="2" customWidth="1"/>
    <col min="17" max="17" width="20.28515625" style="2" customWidth="1"/>
    <col min="18" max="18" width="19.28515625" style="2" customWidth="1"/>
    <col min="19" max="16384" width="9.140625" style="2"/>
  </cols>
  <sheetData>
    <row r="1" spans="1:19" x14ac:dyDescent="0.4">
      <c r="A1" s="1" t="s">
        <v>7</v>
      </c>
      <c r="F1" s="3" t="s">
        <v>8</v>
      </c>
      <c r="G1" s="1" t="s">
        <v>7</v>
      </c>
      <c r="L1" s="3" t="s">
        <v>8</v>
      </c>
      <c r="M1" s="1" t="s">
        <v>7</v>
      </c>
      <c r="R1" s="3" t="s">
        <v>8</v>
      </c>
    </row>
    <row r="2" spans="1:19" x14ac:dyDescent="0.4">
      <c r="A2" s="1" t="s">
        <v>92</v>
      </c>
      <c r="F2" s="3" t="s">
        <v>9</v>
      </c>
      <c r="G2" s="1" t="s">
        <v>92</v>
      </c>
      <c r="L2" s="3" t="s">
        <v>9</v>
      </c>
      <c r="M2" s="1" t="s">
        <v>92</v>
      </c>
      <c r="R2" s="3" t="s">
        <v>9</v>
      </c>
    </row>
    <row r="3" spans="1:19" x14ac:dyDescent="0.4">
      <c r="A3" s="1" t="s">
        <v>10</v>
      </c>
      <c r="F3" s="3" t="s">
        <v>11</v>
      </c>
      <c r="G3" s="1" t="s">
        <v>10</v>
      </c>
      <c r="L3" s="3" t="s">
        <v>11</v>
      </c>
      <c r="M3" s="1" t="s">
        <v>10</v>
      </c>
      <c r="R3" s="3" t="s">
        <v>11</v>
      </c>
    </row>
    <row r="4" spans="1:19" x14ac:dyDescent="0.4">
      <c r="A4" s="1"/>
      <c r="F4" s="3" t="s">
        <v>98</v>
      </c>
      <c r="G4" s="1"/>
      <c r="L4" s="3" t="s">
        <v>98</v>
      </c>
      <c r="M4" s="1"/>
      <c r="R4" s="3" t="s">
        <v>98</v>
      </c>
    </row>
    <row r="5" spans="1:19" x14ac:dyDescent="0.4">
      <c r="A5" s="4" t="s">
        <v>12</v>
      </c>
      <c r="B5" s="5"/>
      <c r="C5" s="5"/>
      <c r="D5" s="6"/>
      <c r="E5" s="5"/>
      <c r="F5" s="7"/>
      <c r="G5" s="4" t="s">
        <v>12</v>
      </c>
      <c r="H5" s="5"/>
      <c r="I5" s="5"/>
      <c r="J5" s="6"/>
      <c r="K5" s="5"/>
      <c r="L5" s="7"/>
      <c r="M5" s="4" t="s">
        <v>12</v>
      </c>
      <c r="N5" s="5"/>
      <c r="O5" s="5"/>
      <c r="P5" s="6"/>
      <c r="Q5" s="5"/>
      <c r="R5" s="7"/>
    </row>
    <row r="6" spans="1:19" x14ac:dyDescent="0.4">
      <c r="A6" s="8" t="s">
        <v>1</v>
      </c>
      <c r="C6" s="9" t="s">
        <v>94</v>
      </c>
      <c r="D6" s="9"/>
      <c r="E6" s="10" t="s">
        <v>31</v>
      </c>
      <c r="F6" s="11" t="s">
        <v>2</v>
      </c>
      <c r="G6" s="8" t="s">
        <v>1</v>
      </c>
      <c r="I6" s="9" t="s">
        <v>94</v>
      </c>
      <c r="J6" s="9"/>
      <c r="K6" s="10" t="str">
        <f>E6</f>
        <v>весенний</v>
      </c>
      <c r="L6" s="11" t="s">
        <v>2</v>
      </c>
      <c r="M6" s="8" t="s">
        <v>1</v>
      </c>
      <c r="O6" s="9" t="s">
        <v>94</v>
      </c>
      <c r="P6" s="9"/>
      <c r="Q6" s="10" t="s">
        <v>31</v>
      </c>
      <c r="R6" s="11" t="s">
        <v>2</v>
      </c>
    </row>
    <row r="7" spans="1:19" x14ac:dyDescent="0.4">
      <c r="A7" s="12" t="s">
        <v>3</v>
      </c>
      <c r="C7" s="13" t="s">
        <v>4</v>
      </c>
      <c r="D7" s="13"/>
      <c r="E7" s="10">
        <v>1</v>
      </c>
      <c r="F7" s="11" t="s">
        <v>5</v>
      </c>
      <c r="G7" s="12" t="s">
        <v>3</v>
      </c>
      <c r="I7" s="45" t="str">
        <f>C7</f>
        <v>государства и права</v>
      </c>
      <c r="J7" s="13"/>
      <c r="K7" s="10">
        <f>E7</f>
        <v>1</v>
      </c>
      <c r="L7" s="11" t="s">
        <v>5</v>
      </c>
      <c r="M7" s="12" t="s">
        <v>3</v>
      </c>
      <c r="O7" s="45" t="str">
        <f t="shared" ref="O7:Q8" si="0">I7</f>
        <v>государства и права</v>
      </c>
      <c r="P7" s="13"/>
      <c r="Q7" s="10">
        <f t="shared" si="0"/>
        <v>1</v>
      </c>
      <c r="R7" s="11" t="s">
        <v>5</v>
      </c>
    </row>
    <row r="8" spans="1:19" x14ac:dyDescent="0.4">
      <c r="A8" s="12" t="s">
        <v>15</v>
      </c>
      <c r="C8" s="14" t="s">
        <v>16</v>
      </c>
      <c r="D8" s="14"/>
      <c r="E8" s="15" t="s">
        <v>95</v>
      </c>
      <c r="F8" s="16" t="s">
        <v>6</v>
      </c>
      <c r="G8" s="12" t="s">
        <v>15</v>
      </c>
      <c r="I8" s="14" t="str">
        <f>C8</f>
        <v>40.03.01 Юриспруденция</v>
      </c>
      <c r="J8" s="14"/>
      <c r="K8" s="15" t="s">
        <v>96</v>
      </c>
      <c r="L8" s="16" t="s">
        <v>6</v>
      </c>
      <c r="M8" s="12" t="s">
        <v>15</v>
      </c>
      <c r="O8" s="14" t="str">
        <f t="shared" si="0"/>
        <v>40.03.01 Юриспруденция</v>
      </c>
      <c r="P8" s="14"/>
      <c r="Q8" s="15" t="s">
        <v>97</v>
      </c>
      <c r="R8" s="16" t="s">
        <v>6</v>
      </c>
    </row>
    <row r="9" spans="1:19" ht="16.5" customHeight="1" thickBot="1" x14ac:dyDescent="0.45">
      <c r="A9" s="12" t="s">
        <v>33</v>
      </c>
      <c r="C9" s="202" t="s">
        <v>104</v>
      </c>
      <c r="D9" s="202"/>
      <c r="E9" s="46"/>
      <c r="G9" s="12" t="s">
        <v>33</v>
      </c>
      <c r="I9" s="202" t="s">
        <v>104</v>
      </c>
      <c r="J9" s="202"/>
      <c r="K9" s="17"/>
      <c r="L9" s="47"/>
      <c r="M9" s="12" t="s">
        <v>33</v>
      </c>
      <c r="O9" s="202" t="s">
        <v>104</v>
      </c>
      <c r="P9" s="202"/>
      <c r="Q9" s="48"/>
      <c r="R9" s="49"/>
    </row>
    <row r="10" spans="1:19" ht="19.5" thickBot="1" x14ac:dyDescent="0.45">
      <c r="A10" s="18" t="s">
        <v>17</v>
      </c>
      <c r="B10" s="19" t="s">
        <v>0</v>
      </c>
      <c r="C10" s="20" t="s">
        <v>25</v>
      </c>
      <c r="D10" s="24"/>
      <c r="E10" s="21"/>
      <c r="F10" s="22"/>
      <c r="G10" s="18" t="s">
        <v>17</v>
      </c>
      <c r="H10" s="19" t="s">
        <v>0</v>
      </c>
      <c r="I10" s="20" t="s">
        <v>25</v>
      </c>
      <c r="J10" s="24"/>
      <c r="K10" s="21"/>
      <c r="L10" s="22"/>
      <c r="M10" s="18" t="s">
        <v>17</v>
      </c>
      <c r="N10" s="19" t="s">
        <v>0</v>
      </c>
      <c r="O10" s="20" t="s">
        <v>25</v>
      </c>
      <c r="P10" s="24"/>
      <c r="Q10" s="21"/>
      <c r="R10" s="22"/>
    </row>
    <row r="11" spans="1:19" ht="20.25" customHeight="1" x14ac:dyDescent="0.4">
      <c r="A11" s="25" t="s">
        <v>18</v>
      </c>
      <c r="B11" s="26">
        <v>1</v>
      </c>
      <c r="C11" s="166" t="s">
        <v>107</v>
      </c>
      <c r="D11" s="167"/>
      <c r="E11" s="167"/>
      <c r="F11" s="168"/>
      <c r="G11" s="25" t="s">
        <v>18</v>
      </c>
      <c r="H11" s="26">
        <v>1</v>
      </c>
      <c r="I11" s="166" t="s">
        <v>107</v>
      </c>
      <c r="J11" s="167"/>
      <c r="K11" s="167"/>
      <c r="L11" s="168"/>
      <c r="M11" s="25" t="s">
        <v>18</v>
      </c>
      <c r="N11" s="26">
        <v>1</v>
      </c>
      <c r="O11" s="166" t="s">
        <v>107</v>
      </c>
      <c r="P11" s="167"/>
      <c r="Q11" s="167"/>
      <c r="R11" s="168"/>
    </row>
    <row r="12" spans="1:19" ht="33.75" customHeight="1" x14ac:dyDescent="0.4">
      <c r="A12" s="28"/>
      <c r="B12" s="29">
        <v>2</v>
      </c>
      <c r="C12" s="181" t="s">
        <v>106</v>
      </c>
      <c r="D12" s="182"/>
      <c r="E12" s="182"/>
      <c r="F12" s="183"/>
      <c r="G12" s="28"/>
      <c r="H12" s="29">
        <v>2</v>
      </c>
      <c r="I12" s="181" t="s">
        <v>106</v>
      </c>
      <c r="J12" s="182"/>
      <c r="K12" s="182"/>
      <c r="L12" s="183"/>
      <c r="M12" s="28"/>
      <c r="N12" s="29">
        <v>2</v>
      </c>
      <c r="O12" s="181" t="s">
        <v>106</v>
      </c>
      <c r="P12" s="182"/>
      <c r="Q12" s="182"/>
      <c r="R12" s="183"/>
    </row>
    <row r="13" spans="1:19" ht="53.25" customHeight="1" x14ac:dyDescent="0.4">
      <c r="A13" s="28"/>
      <c r="B13" s="29">
        <v>3</v>
      </c>
      <c r="C13" s="181" t="s">
        <v>112</v>
      </c>
      <c r="D13" s="182"/>
      <c r="E13" s="182"/>
      <c r="F13" s="183"/>
      <c r="G13" s="28"/>
      <c r="H13" s="29">
        <v>3</v>
      </c>
      <c r="I13" s="181" t="s">
        <v>112</v>
      </c>
      <c r="J13" s="182"/>
      <c r="K13" s="182"/>
      <c r="L13" s="183"/>
      <c r="M13" s="28"/>
      <c r="N13" s="29">
        <v>3</v>
      </c>
      <c r="O13" s="181" t="s">
        <v>112</v>
      </c>
      <c r="P13" s="182"/>
      <c r="Q13" s="182"/>
      <c r="R13" s="183"/>
      <c r="S13" s="28"/>
    </row>
    <row r="14" spans="1:19" ht="18.75" customHeight="1" thickBot="1" x14ac:dyDescent="0.45">
      <c r="A14" s="28"/>
      <c r="B14" s="29">
        <v>4</v>
      </c>
      <c r="C14" s="169" t="s">
        <v>113</v>
      </c>
      <c r="D14" s="170"/>
      <c r="E14" s="170"/>
      <c r="F14" s="171"/>
      <c r="G14" s="28"/>
      <c r="H14" s="29">
        <v>4</v>
      </c>
      <c r="I14" s="172"/>
      <c r="J14" s="173"/>
      <c r="K14" s="173"/>
      <c r="L14" s="174"/>
      <c r="M14" s="28"/>
      <c r="N14" s="29">
        <v>4</v>
      </c>
      <c r="O14" s="178"/>
      <c r="P14" s="179"/>
      <c r="Q14" s="179"/>
      <c r="R14" s="180"/>
    </row>
    <row r="15" spans="1:19" ht="56.25" customHeight="1" x14ac:dyDescent="0.4">
      <c r="A15" s="34" t="s">
        <v>19</v>
      </c>
      <c r="B15" s="35">
        <v>1</v>
      </c>
      <c r="C15" s="146" t="s">
        <v>114</v>
      </c>
      <c r="D15" s="147"/>
      <c r="E15" s="147"/>
      <c r="F15" s="148"/>
      <c r="G15" s="51" t="s">
        <v>19</v>
      </c>
      <c r="H15" s="52">
        <v>1</v>
      </c>
      <c r="I15" s="146" t="s">
        <v>114</v>
      </c>
      <c r="J15" s="147"/>
      <c r="K15" s="147"/>
      <c r="L15" s="148"/>
      <c r="M15" s="51" t="s">
        <v>19</v>
      </c>
      <c r="N15" s="35">
        <v>1</v>
      </c>
      <c r="O15" s="146" t="s">
        <v>114</v>
      </c>
      <c r="P15" s="147"/>
      <c r="Q15" s="147"/>
      <c r="R15" s="148"/>
    </row>
    <row r="16" spans="1:19" ht="56.25" customHeight="1" x14ac:dyDescent="0.4">
      <c r="A16" s="28"/>
      <c r="B16" s="29">
        <v>2</v>
      </c>
      <c r="C16" s="181" t="s">
        <v>115</v>
      </c>
      <c r="D16" s="182"/>
      <c r="E16" s="182"/>
      <c r="F16" s="183"/>
      <c r="G16" s="53"/>
      <c r="H16" s="54">
        <v>2</v>
      </c>
      <c r="I16" s="181" t="s">
        <v>116</v>
      </c>
      <c r="J16" s="182"/>
      <c r="K16" s="182"/>
      <c r="L16" s="183"/>
      <c r="M16" s="28"/>
      <c r="N16" s="29">
        <v>2</v>
      </c>
      <c r="O16" s="181" t="s">
        <v>117</v>
      </c>
      <c r="P16" s="182"/>
      <c r="Q16" s="182"/>
      <c r="R16" s="183"/>
    </row>
    <row r="17" spans="1:18" ht="57" customHeight="1" x14ac:dyDescent="0.4">
      <c r="A17" s="28"/>
      <c r="B17" s="29">
        <v>3</v>
      </c>
      <c r="C17" s="181" t="s">
        <v>74</v>
      </c>
      <c r="D17" s="182"/>
      <c r="E17" s="182"/>
      <c r="F17" s="183"/>
      <c r="G17" s="53"/>
      <c r="H17" s="54">
        <v>3</v>
      </c>
      <c r="I17" s="181" t="s">
        <v>117</v>
      </c>
      <c r="J17" s="182"/>
      <c r="K17" s="182"/>
      <c r="L17" s="183"/>
      <c r="M17" s="28"/>
      <c r="N17" s="29">
        <v>3</v>
      </c>
      <c r="O17" s="181" t="s">
        <v>115</v>
      </c>
      <c r="P17" s="182"/>
      <c r="Q17" s="182"/>
      <c r="R17" s="183"/>
    </row>
    <row r="18" spans="1:18" ht="20.25" customHeight="1" thickBot="1" x14ac:dyDescent="0.45">
      <c r="A18" s="36"/>
      <c r="B18" s="32">
        <v>4</v>
      </c>
      <c r="C18" s="193" t="s">
        <v>117</v>
      </c>
      <c r="D18" s="194"/>
      <c r="E18" s="194"/>
      <c r="F18" s="195"/>
      <c r="G18" s="53"/>
      <c r="H18" s="55">
        <v>4</v>
      </c>
      <c r="I18" s="175"/>
      <c r="J18" s="176"/>
      <c r="K18" s="176"/>
      <c r="L18" s="177"/>
      <c r="M18" s="36"/>
      <c r="N18" s="32">
        <v>4</v>
      </c>
      <c r="O18" s="196"/>
      <c r="P18" s="197"/>
      <c r="Q18" s="197"/>
      <c r="R18" s="198"/>
    </row>
    <row r="19" spans="1:18" ht="33.75" customHeight="1" x14ac:dyDescent="0.4">
      <c r="A19" s="25" t="s">
        <v>20</v>
      </c>
      <c r="B19" s="26">
        <v>2</v>
      </c>
      <c r="C19" s="190" t="s">
        <v>72</v>
      </c>
      <c r="D19" s="191"/>
      <c r="E19" s="191"/>
      <c r="F19" s="192"/>
      <c r="G19" s="34" t="s">
        <v>20</v>
      </c>
      <c r="H19" s="35">
        <v>1</v>
      </c>
      <c r="I19" s="184" t="s">
        <v>113</v>
      </c>
      <c r="J19" s="185"/>
      <c r="K19" s="185"/>
      <c r="L19" s="186"/>
      <c r="M19" s="34" t="s">
        <v>20</v>
      </c>
      <c r="N19" s="35">
        <v>1</v>
      </c>
      <c r="O19" s="199"/>
      <c r="P19" s="200"/>
      <c r="Q19" s="200"/>
      <c r="R19" s="201"/>
    </row>
    <row r="20" spans="1:18" ht="18" customHeight="1" x14ac:dyDescent="0.4">
      <c r="A20" s="28"/>
      <c r="B20" s="29">
        <v>4</v>
      </c>
      <c r="C20" s="149" t="s">
        <v>59</v>
      </c>
      <c r="D20" s="150"/>
      <c r="E20" s="150"/>
      <c r="F20" s="151"/>
      <c r="G20" s="28"/>
      <c r="H20" s="29">
        <v>2</v>
      </c>
      <c r="I20" s="149" t="s">
        <v>118</v>
      </c>
      <c r="J20" s="150"/>
      <c r="K20" s="150"/>
      <c r="L20" s="151"/>
      <c r="M20" s="28"/>
      <c r="N20" s="29">
        <v>2</v>
      </c>
      <c r="O20" s="210" t="s">
        <v>113</v>
      </c>
      <c r="P20" s="211"/>
      <c r="Q20" s="211"/>
      <c r="R20" s="212"/>
    </row>
    <row r="21" spans="1:18" ht="33.75" customHeight="1" x14ac:dyDescent="0.4">
      <c r="A21" s="28"/>
      <c r="B21" s="29">
        <v>5</v>
      </c>
      <c r="C21" s="149" t="s">
        <v>122</v>
      </c>
      <c r="D21" s="222"/>
      <c r="E21" s="223"/>
      <c r="F21" s="130"/>
      <c r="G21" s="28"/>
      <c r="H21" s="29">
        <v>3</v>
      </c>
      <c r="I21" s="149" t="s">
        <v>72</v>
      </c>
      <c r="J21" s="150"/>
      <c r="K21" s="150"/>
      <c r="L21" s="151"/>
      <c r="M21" s="28"/>
      <c r="N21" s="29">
        <v>3</v>
      </c>
      <c r="O21" s="219" t="s">
        <v>118</v>
      </c>
      <c r="P21" s="220"/>
      <c r="Q21" s="220"/>
      <c r="R21" s="221"/>
    </row>
    <row r="22" spans="1:18" ht="36" customHeight="1" thickBot="1" x14ac:dyDescent="0.45">
      <c r="A22" s="28"/>
      <c r="B22" s="29">
        <v>6</v>
      </c>
      <c r="C22" s="207"/>
      <c r="D22" s="208"/>
      <c r="E22" s="208"/>
      <c r="F22" s="209"/>
      <c r="G22" s="36"/>
      <c r="H22" s="32">
        <v>4</v>
      </c>
      <c r="I22" s="213"/>
      <c r="J22" s="214"/>
      <c r="K22" s="214"/>
      <c r="L22" s="215"/>
      <c r="M22" s="36"/>
      <c r="N22" s="32">
        <v>4</v>
      </c>
      <c r="O22" s="216" t="s">
        <v>72</v>
      </c>
      <c r="P22" s="217"/>
      <c r="Q22" s="217"/>
      <c r="R22" s="218"/>
    </row>
    <row r="23" spans="1:18" ht="16.5" customHeight="1" x14ac:dyDescent="0.4">
      <c r="A23" s="34" t="s">
        <v>21</v>
      </c>
      <c r="B23" s="35">
        <v>2</v>
      </c>
      <c r="C23" s="226"/>
      <c r="D23" s="227"/>
      <c r="E23" s="227"/>
      <c r="F23" s="228"/>
      <c r="G23" s="25" t="s">
        <v>21</v>
      </c>
      <c r="H23" s="26">
        <v>1</v>
      </c>
      <c r="I23" s="226" t="s">
        <v>120</v>
      </c>
      <c r="J23" s="227"/>
      <c r="K23" s="227"/>
      <c r="L23" s="228"/>
      <c r="M23" s="25" t="s">
        <v>21</v>
      </c>
      <c r="N23" s="26">
        <v>2</v>
      </c>
      <c r="O23" s="226" t="s">
        <v>120</v>
      </c>
      <c r="P23" s="227"/>
      <c r="Q23" s="227"/>
      <c r="R23" s="228"/>
    </row>
    <row r="24" spans="1:18" ht="17.25" customHeight="1" x14ac:dyDescent="0.4">
      <c r="A24" s="28"/>
      <c r="B24" s="29">
        <v>3</v>
      </c>
      <c r="C24" s="134" t="s">
        <v>120</v>
      </c>
      <c r="D24" s="135"/>
      <c r="E24" s="135"/>
      <c r="F24" s="136"/>
      <c r="G24" s="28"/>
      <c r="H24" s="29">
        <v>2</v>
      </c>
      <c r="I24" s="134" t="s">
        <v>121</v>
      </c>
      <c r="J24" s="135"/>
      <c r="K24" s="135"/>
      <c r="L24" s="136"/>
      <c r="M24" s="28"/>
      <c r="N24" s="29">
        <v>3</v>
      </c>
      <c r="O24" s="134" t="s">
        <v>121</v>
      </c>
      <c r="P24" s="135"/>
      <c r="Q24" s="135"/>
      <c r="R24" s="136"/>
    </row>
    <row r="25" spans="1:18" ht="16.5" customHeight="1" x14ac:dyDescent="0.4">
      <c r="A25" s="28"/>
      <c r="B25" s="29">
        <v>4</v>
      </c>
      <c r="C25" s="134" t="s">
        <v>121</v>
      </c>
      <c r="D25" s="135"/>
      <c r="E25" s="135"/>
      <c r="F25" s="136"/>
      <c r="G25" s="28"/>
      <c r="H25" s="29">
        <v>3</v>
      </c>
      <c r="I25" s="134" t="s">
        <v>59</v>
      </c>
      <c r="J25" s="135"/>
      <c r="K25" s="135"/>
      <c r="L25" s="136"/>
      <c r="M25" s="28"/>
      <c r="N25" s="29">
        <v>4</v>
      </c>
      <c r="O25" s="134" t="s">
        <v>59</v>
      </c>
      <c r="P25" s="135"/>
      <c r="Q25" s="135"/>
      <c r="R25" s="136"/>
    </row>
    <row r="26" spans="1:18" ht="17.25" customHeight="1" thickBot="1" x14ac:dyDescent="0.45">
      <c r="A26" s="36"/>
      <c r="B26" s="32">
        <v>5</v>
      </c>
      <c r="C26" s="152"/>
      <c r="D26" s="153"/>
      <c r="E26" s="153" t="s">
        <v>37</v>
      </c>
      <c r="F26" s="235"/>
      <c r="G26" s="36"/>
      <c r="H26" s="57">
        <v>4</v>
      </c>
      <c r="I26" s="152" t="s">
        <v>76</v>
      </c>
      <c r="J26" s="153"/>
      <c r="K26" s="153" t="s">
        <v>75</v>
      </c>
      <c r="L26" s="235"/>
      <c r="M26" s="36"/>
      <c r="N26" s="32">
        <v>5</v>
      </c>
      <c r="O26" s="203" t="s">
        <v>36</v>
      </c>
      <c r="P26" s="204"/>
      <c r="Q26" s="205"/>
      <c r="R26" s="206"/>
    </row>
    <row r="27" spans="1:18" ht="37.5" customHeight="1" x14ac:dyDescent="0.4">
      <c r="A27" s="34" t="s">
        <v>22</v>
      </c>
      <c r="B27" s="35">
        <v>1</v>
      </c>
      <c r="C27" s="232" t="s">
        <v>109</v>
      </c>
      <c r="D27" s="233"/>
      <c r="E27" s="233"/>
      <c r="F27" s="234"/>
      <c r="G27" s="75" t="s">
        <v>22</v>
      </c>
      <c r="H27" s="52">
        <v>1</v>
      </c>
      <c r="I27" s="229" t="s">
        <v>74</v>
      </c>
      <c r="J27" s="230"/>
      <c r="K27" s="230"/>
      <c r="L27" s="231"/>
      <c r="M27" s="25" t="s">
        <v>22</v>
      </c>
      <c r="N27" s="26">
        <v>1</v>
      </c>
      <c r="O27" s="140"/>
      <c r="P27" s="141"/>
      <c r="Q27" s="141"/>
      <c r="R27" s="142"/>
    </row>
    <row r="28" spans="1:18" ht="39" customHeight="1" x14ac:dyDescent="0.4">
      <c r="A28" s="37"/>
      <c r="B28" s="29">
        <v>2</v>
      </c>
      <c r="C28" s="149" t="s">
        <v>119</v>
      </c>
      <c r="D28" s="150"/>
      <c r="E28" s="150"/>
      <c r="F28" s="151"/>
      <c r="G28" s="76"/>
      <c r="H28" s="54">
        <v>2</v>
      </c>
      <c r="I28" s="149" t="s">
        <v>110</v>
      </c>
      <c r="J28" s="150"/>
      <c r="K28" s="150"/>
      <c r="L28" s="151"/>
      <c r="M28" s="37"/>
      <c r="N28" s="29">
        <v>2</v>
      </c>
      <c r="O28" s="134" t="s">
        <v>111</v>
      </c>
      <c r="P28" s="135"/>
      <c r="Q28" s="135"/>
      <c r="R28" s="136"/>
    </row>
    <row r="29" spans="1:18" ht="18.75" customHeight="1" x14ac:dyDescent="0.4">
      <c r="A29" s="37"/>
      <c r="B29" s="29">
        <v>3</v>
      </c>
      <c r="C29" s="181" t="s">
        <v>26</v>
      </c>
      <c r="D29" s="182"/>
      <c r="E29" s="182"/>
      <c r="F29" s="183"/>
      <c r="G29" s="76"/>
      <c r="H29" s="54">
        <v>3</v>
      </c>
      <c r="I29" s="128"/>
      <c r="J29" s="129"/>
      <c r="K29" s="129"/>
      <c r="L29" s="130"/>
      <c r="M29" s="37"/>
      <c r="N29" s="29">
        <v>3</v>
      </c>
      <c r="O29" s="134" t="s">
        <v>74</v>
      </c>
      <c r="P29" s="135"/>
      <c r="Q29" s="135"/>
      <c r="R29" s="136"/>
    </row>
    <row r="30" spans="1:18" ht="18.75" customHeight="1" thickBot="1" x14ac:dyDescent="0.45">
      <c r="A30" s="38"/>
      <c r="B30" s="32">
        <v>4</v>
      </c>
      <c r="C30" s="143"/>
      <c r="D30" s="144"/>
      <c r="E30" s="144"/>
      <c r="F30" s="145"/>
      <c r="G30" s="77"/>
      <c r="H30" s="55">
        <v>4</v>
      </c>
      <c r="I30" s="137"/>
      <c r="J30" s="138"/>
      <c r="K30" s="138"/>
      <c r="L30" s="139"/>
      <c r="M30" s="58"/>
      <c r="N30" s="57">
        <v>4</v>
      </c>
      <c r="O30" s="137"/>
      <c r="P30" s="138"/>
      <c r="Q30" s="224" t="s">
        <v>37</v>
      </c>
      <c r="R30" s="225"/>
    </row>
    <row r="31" spans="1:18" ht="18.75" customHeight="1" x14ac:dyDescent="0.4">
      <c r="A31" s="59" t="s">
        <v>23</v>
      </c>
      <c r="B31" s="35">
        <v>1</v>
      </c>
      <c r="C31" s="146" t="s">
        <v>30</v>
      </c>
      <c r="D31" s="147"/>
      <c r="E31" s="147"/>
      <c r="F31" s="148"/>
      <c r="G31" s="97" t="s">
        <v>23</v>
      </c>
      <c r="H31" s="52">
        <v>1</v>
      </c>
      <c r="I31" s="146"/>
      <c r="J31" s="147"/>
      <c r="K31" s="147"/>
      <c r="L31" s="148"/>
      <c r="M31" s="59" t="s">
        <v>23</v>
      </c>
      <c r="N31" s="35">
        <v>2</v>
      </c>
      <c r="O31" s="154"/>
      <c r="P31" s="155"/>
      <c r="Q31" s="155"/>
      <c r="R31" s="156"/>
    </row>
    <row r="32" spans="1:18" ht="17.25" customHeight="1" x14ac:dyDescent="0.4">
      <c r="A32" s="40"/>
      <c r="B32" s="29">
        <v>2</v>
      </c>
      <c r="C32" s="187"/>
      <c r="D32" s="188"/>
      <c r="E32" s="188"/>
      <c r="F32" s="189"/>
      <c r="G32" s="60"/>
      <c r="H32" s="54">
        <v>2</v>
      </c>
      <c r="I32" s="128"/>
      <c r="J32" s="129"/>
      <c r="K32" s="129"/>
      <c r="L32" s="130"/>
      <c r="M32" s="40"/>
      <c r="N32" s="29">
        <v>3</v>
      </c>
      <c r="O32" s="128"/>
      <c r="P32" s="129"/>
      <c r="Q32" s="129"/>
      <c r="R32" s="130"/>
    </row>
    <row r="33" spans="1:18" ht="17.25" customHeight="1" thickBot="1" x14ac:dyDescent="0.45">
      <c r="A33" s="44"/>
      <c r="B33" s="32">
        <v>3</v>
      </c>
      <c r="C33" s="137"/>
      <c r="D33" s="138"/>
      <c r="E33" s="138"/>
      <c r="F33" s="139"/>
      <c r="G33" s="98"/>
      <c r="H33" s="55">
        <v>3</v>
      </c>
      <c r="I33" s="131" t="s">
        <v>26</v>
      </c>
      <c r="J33" s="132"/>
      <c r="K33" s="132"/>
      <c r="L33" s="133"/>
      <c r="M33" s="44"/>
      <c r="N33" s="32">
        <v>4</v>
      </c>
      <c r="O33" s="131" t="s">
        <v>26</v>
      </c>
      <c r="P33" s="132"/>
      <c r="Q33" s="132"/>
      <c r="R33" s="133"/>
    </row>
    <row r="34" spans="1:18" s="66" customFormat="1" ht="7.5" customHeight="1" thickBot="1" x14ac:dyDescent="0.45">
      <c r="A34" s="92"/>
      <c r="B34" s="93"/>
      <c r="C34" s="94"/>
      <c r="D34" s="95"/>
      <c r="E34" s="95"/>
      <c r="F34" s="96"/>
      <c r="G34" s="64"/>
      <c r="H34" s="65"/>
      <c r="I34" s="107"/>
      <c r="J34" s="108"/>
      <c r="K34" s="108"/>
      <c r="L34" s="109"/>
      <c r="M34" s="62"/>
      <c r="N34" s="63"/>
      <c r="O34" s="104"/>
      <c r="P34" s="105"/>
      <c r="Q34" s="105"/>
      <c r="R34" s="106"/>
    </row>
    <row r="35" spans="1:18" x14ac:dyDescent="0.4">
      <c r="A35" s="67"/>
      <c r="B35" s="72" t="s">
        <v>28</v>
      </c>
      <c r="C35" s="164" t="s">
        <v>34</v>
      </c>
      <c r="D35" s="164"/>
      <c r="E35" s="164"/>
      <c r="F35" s="165"/>
      <c r="G35" s="67"/>
      <c r="H35" s="72" t="s">
        <v>28</v>
      </c>
      <c r="I35" s="164" t="s">
        <v>34</v>
      </c>
      <c r="J35" s="164"/>
      <c r="K35" s="164"/>
      <c r="L35" s="165"/>
      <c r="M35" s="67"/>
      <c r="N35" s="72" t="s">
        <v>28</v>
      </c>
      <c r="O35" s="164" t="s">
        <v>34</v>
      </c>
      <c r="P35" s="164"/>
      <c r="Q35" s="164"/>
      <c r="R35" s="165"/>
    </row>
    <row r="36" spans="1:18" x14ac:dyDescent="0.4">
      <c r="A36" s="40"/>
      <c r="B36" s="71" t="s">
        <v>28</v>
      </c>
      <c r="C36" s="159" t="s">
        <v>29</v>
      </c>
      <c r="D36" s="159"/>
      <c r="E36" s="159"/>
      <c r="F36" s="160"/>
      <c r="G36" s="40"/>
      <c r="H36" s="71" t="s">
        <v>28</v>
      </c>
      <c r="I36" s="159" t="s">
        <v>29</v>
      </c>
      <c r="J36" s="159"/>
      <c r="K36" s="159"/>
      <c r="L36" s="160"/>
      <c r="M36" s="40"/>
      <c r="N36" s="71" t="s">
        <v>28</v>
      </c>
      <c r="O36" s="159" t="s">
        <v>29</v>
      </c>
      <c r="P36" s="159"/>
      <c r="Q36" s="159"/>
      <c r="R36" s="160"/>
    </row>
    <row r="37" spans="1:18" x14ac:dyDescent="0.4">
      <c r="A37" s="61"/>
      <c r="B37" s="80" t="s">
        <v>28</v>
      </c>
      <c r="C37" s="161" t="s">
        <v>73</v>
      </c>
      <c r="D37" s="162"/>
      <c r="E37" s="162"/>
      <c r="F37" s="163"/>
      <c r="G37" s="61"/>
      <c r="H37" s="80" t="s">
        <v>28</v>
      </c>
      <c r="I37" s="161" t="s">
        <v>73</v>
      </c>
      <c r="J37" s="162"/>
      <c r="K37" s="162"/>
      <c r="L37" s="163"/>
      <c r="M37" s="61"/>
      <c r="N37" s="80" t="s">
        <v>28</v>
      </c>
      <c r="O37" s="161" t="s">
        <v>73</v>
      </c>
      <c r="P37" s="162"/>
      <c r="Q37" s="162"/>
      <c r="R37" s="163"/>
    </row>
    <row r="38" spans="1:18" ht="16.5" customHeight="1" thickBot="1" x14ac:dyDescent="0.45">
      <c r="A38" s="44"/>
      <c r="B38" s="79" t="s">
        <v>28</v>
      </c>
      <c r="C38" s="157" t="s">
        <v>70</v>
      </c>
      <c r="D38" s="157"/>
      <c r="E38" s="157"/>
      <c r="F38" s="158"/>
      <c r="G38" s="44"/>
      <c r="H38" s="79" t="s">
        <v>28</v>
      </c>
      <c r="I38" s="157" t="s">
        <v>70</v>
      </c>
      <c r="J38" s="157"/>
      <c r="K38" s="157"/>
      <c r="L38" s="158"/>
      <c r="M38" s="44"/>
      <c r="N38" s="79" t="s">
        <v>28</v>
      </c>
      <c r="O38" s="157" t="s">
        <v>70</v>
      </c>
      <c r="P38" s="157"/>
      <c r="Q38" s="157"/>
      <c r="R38" s="158"/>
    </row>
    <row r="39" spans="1:18" x14ac:dyDescent="0.4">
      <c r="B39" s="2" t="s">
        <v>101</v>
      </c>
      <c r="E39" s="2" t="s">
        <v>50</v>
      </c>
      <c r="H39" s="2" t="s">
        <v>101</v>
      </c>
      <c r="K39" s="2" t="s">
        <v>50</v>
      </c>
      <c r="N39" s="2" t="s">
        <v>101</v>
      </c>
      <c r="Q39" s="2" t="s">
        <v>50</v>
      </c>
    </row>
    <row r="40" spans="1:18" x14ac:dyDescent="0.4">
      <c r="B40" s="2" t="s">
        <v>13</v>
      </c>
      <c r="E40" s="2" t="s">
        <v>102</v>
      </c>
      <c r="H40" s="2" t="s">
        <v>13</v>
      </c>
      <c r="K40" s="2" t="s">
        <v>102</v>
      </c>
      <c r="N40" s="2" t="s">
        <v>13</v>
      </c>
      <c r="Q40" s="2" t="s">
        <v>102</v>
      </c>
    </row>
    <row r="41" spans="1:18" x14ac:dyDescent="0.4">
      <c r="B41" s="2" t="s">
        <v>13</v>
      </c>
      <c r="E41" s="2" t="s">
        <v>50</v>
      </c>
      <c r="H41" s="2" t="s">
        <v>13</v>
      </c>
      <c r="K41" s="2" t="s">
        <v>50</v>
      </c>
      <c r="N41" s="2" t="s">
        <v>13</v>
      </c>
      <c r="Q41" s="2" t="s">
        <v>50</v>
      </c>
    </row>
  </sheetData>
  <mergeCells count="89">
    <mergeCell ref="Q30:R30"/>
    <mergeCell ref="C23:F23"/>
    <mergeCell ref="C24:F24"/>
    <mergeCell ref="C29:F29"/>
    <mergeCell ref="I25:L25"/>
    <mergeCell ref="I23:L23"/>
    <mergeCell ref="I24:L24"/>
    <mergeCell ref="I27:L27"/>
    <mergeCell ref="C27:F27"/>
    <mergeCell ref="K26:L26"/>
    <mergeCell ref="C26:D26"/>
    <mergeCell ref="E26:F26"/>
    <mergeCell ref="O23:R23"/>
    <mergeCell ref="O29:R29"/>
    <mergeCell ref="O24:R24"/>
    <mergeCell ref="O25:R25"/>
    <mergeCell ref="O26:P26"/>
    <mergeCell ref="Q26:R26"/>
    <mergeCell ref="C22:F22"/>
    <mergeCell ref="C20:F20"/>
    <mergeCell ref="O20:R20"/>
    <mergeCell ref="I20:L20"/>
    <mergeCell ref="I22:L22"/>
    <mergeCell ref="O22:R22"/>
    <mergeCell ref="O21:R21"/>
    <mergeCell ref="I21:L21"/>
    <mergeCell ref="C21:D21"/>
    <mergeCell ref="E21:F21"/>
    <mergeCell ref="C9:D9"/>
    <mergeCell ref="I9:J9"/>
    <mergeCell ref="O9:P9"/>
    <mergeCell ref="C15:F15"/>
    <mergeCell ref="I16:L16"/>
    <mergeCell ref="C11:F11"/>
    <mergeCell ref="C17:F17"/>
    <mergeCell ref="I17:L17"/>
    <mergeCell ref="C19:F19"/>
    <mergeCell ref="C12:F12"/>
    <mergeCell ref="O12:R12"/>
    <mergeCell ref="C16:F16"/>
    <mergeCell ref="C13:F13"/>
    <mergeCell ref="I13:L13"/>
    <mergeCell ref="I15:L15"/>
    <mergeCell ref="C18:F18"/>
    <mergeCell ref="I12:L12"/>
    <mergeCell ref="O13:R13"/>
    <mergeCell ref="O18:R18"/>
    <mergeCell ref="O19:R19"/>
    <mergeCell ref="C35:F35"/>
    <mergeCell ref="I35:L35"/>
    <mergeCell ref="C33:F33"/>
    <mergeCell ref="O35:R35"/>
    <mergeCell ref="I11:L11"/>
    <mergeCell ref="O11:R11"/>
    <mergeCell ref="C14:F14"/>
    <mergeCell ref="I14:L14"/>
    <mergeCell ref="I18:L18"/>
    <mergeCell ref="O14:R14"/>
    <mergeCell ref="O15:R15"/>
    <mergeCell ref="O17:R17"/>
    <mergeCell ref="I19:L19"/>
    <mergeCell ref="O16:R16"/>
    <mergeCell ref="C32:F32"/>
    <mergeCell ref="I31:L31"/>
    <mergeCell ref="O38:R38"/>
    <mergeCell ref="C36:F36"/>
    <mergeCell ref="I36:L36"/>
    <mergeCell ref="O36:R36"/>
    <mergeCell ref="C37:F37"/>
    <mergeCell ref="I37:L37"/>
    <mergeCell ref="O37:R37"/>
    <mergeCell ref="C38:F38"/>
    <mergeCell ref="I38:L38"/>
    <mergeCell ref="O32:R32"/>
    <mergeCell ref="O33:R33"/>
    <mergeCell ref="C25:F25"/>
    <mergeCell ref="I30:L30"/>
    <mergeCell ref="O27:R27"/>
    <mergeCell ref="O28:R28"/>
    <mergeCell ref="C30:F30"/>
    <mergeCell ref="C31:F31"/>
    <mergeCell ref="I33:L33"/>
    <mergeCell ref="C28:F28"/>
    <mergeCell ref="I28:L28"/>
    <mergeCell ref="I29:L29"/>
    <mergeCell ref="I32:L32"/>
    <mergeCell ref="I26:J26"/>
    <mergeCell ref="O31:R31"/>
    <mergeCell ref="O30:P30"/>
  </mergeCells>
  <conditionalFormatting sqref="K9">
    <cfRule type="expression" priority="9">
      <formula>IF($C$9=0,"",$C$9)</formula>
    </cfRule>
  </conditionalFormatting>
  <conditionalFormatting sqref="Q9">
    <cfRule type="expression" priority="8">
      <formula>IF($C$9=0,"",$C$9)</formula>
    </cfRule>
  </conditionalFormatting>
  <conditionalFormatting sqref="C9 E9">
    <cfRule type="expression" priority="7">
      <formula>IF(#REF!=0,"",#REF!)</formula>
    </cfRule>
  </conditionalFormatting>
  <conditionalFormatting sqref="I9">
    <cfRule type="expression" priority="2">
      <formula>IF(#REF!=0,"",#REF!)</formula>
    </cfRule>
  </conditionalFormatting>
  <conditionalFormatting sqref="O9">
    <cfRule type="expression" priority="1">
      <formula>IF(#REF!=0,"",#REF!)</formula>
    </cfRule>
  </conditionalFormatting>
  <dataValidations count="3">
    <dataValidation type="list" allowBlank="1" showInputMessage="1" showErrorMessage="1" sqref="Q6 K6 E6">
      <formula1>"осенний, весенний"</formula1>
    </dataValidation>
    <dataValidation allowBlank="1" showDropDown="1" showInputMessage="1" showErrorMessage="1" sqref="I7 O7 C7"/>
    <dataValidation type="list" allowBlank="1" showInputMessage="1" showErrorMessage="1" sqref="C6 I6 O6">
      <formula1>"2025-2026"</formula1>
    </dataValidation>
  </dataValidations>
  <pageMargins left="0.9055118110236221" right="0.70866141732283472" top="0.35433070866141736" bottom="0.35433070866141736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topLeftCell="L7" zoomScaleNormal="100" workbookViewId="0">
      <selection activeCell="Z7" sqref="Z1:Z1048576"/>
    </sheetView>
  </sheetViews>
  <sheetFormatPr defaultColWidth="9.140625" defaultRowHeight="18.75" x14ac:dyDescent="0.4"/>
  <cols>
    <col min="1" max="1" width="6.85546875" style="2" customWidth="1"/>
    <col min="2" max="2" width="9.140625" style="2" customWidth="1"/>
    <col min="3" max="3" width="20" style="2" customWidth="1"/>
    <col min="4" max="4" width="17.5703125" style="2" customWidth="1"/>
    <col min="5" max="5" width="19.28515625" style="2" customWidth="1"/>
    <col min="6" max="6" width="19.42578125" style="2" customWidth="1"/>
    <col min="7" max="7" width="18.140625" style="2" customWidth="1"/>
    <col min="8" max="8" width="6.85546875" style="2" customWidth="1"/>
    <col min="9" max="9" width="9.5703125" style="2" customWidth="1"/>
    <col min="10" max="10" width="20.5703125" style="2" customWidth="1"/>
    <col min="11" max="11" width="19.85546875" style="2" customWidth="1"/>
    <col min="12" max="12" width="18.7109375" style="2" customWidth="1"/>
    <col min="13" max="13" width="18" style="2" customWidth="1"/>
    <col min="14" max="14" width="6.85546875" style="2" customWidth="1"/>
    <col min="15" max="15" width="8.85546875" style="2" customWidth="1"/>
    <col min="16" max="16" width="20" style="2" customWidth="1"/>
    <col min="17" max="17" width="19.42578125" style="2" customWidth="1"/>
    <col min="18" max="18" width="21" style="2" customWidth="1"/>
    <col min="19" max="19" width="19.7109375" style="2" customWidth="1"/>
    <col min="20" max="20" width="6.85546875" style="2" customWidth="1"/>
    <col min="21" max="21" width="8.85546875" style="2" customWidth="1"/>
    <col min="22" max="22" width="20" style="2" customWidth="1"/>
    <col min="23" max="23" width="17.7109375" style="2" customWidth="1"/>
    <col min="24" max="24" width="19" style="2" customWidth="1"/>
    <col min="25" max="25" width="20.140625" style="2" customWidth="1"/>
    <col min="26" max="16384" width="9.140625" style="2"/>
  </cols>
  <sheetData>
    <row r="1" spans="1:25" x14ac:dyDescent="0.4">
      <c r="A1" s="1" t="s">
        <v>7</v>
      </c>
      <c r="F1" s="3" t="s">
        <v>8</v>
      </c>
      <c r="H1" s="1" t="s">
        <v>7</v>
      </c>
      <c r="M1" s="3" t="s">
        <v>8</v>
      </c>
      <c r="N1" s="1" t="s">
        <v>7</v>
      </c>
      <c r="S1" s="3" t="s">
        <v>8</v>
      </c>
      <c r="T1" s="1" t="s">
        <v>7</v>
      </c>
      <c r="Y1" s="3" t="s">
        <v>8</v>
      </c>
    </row>
    <row r="2" spans="1:25" x14ac:dyDescent="0.4">
      <c r="A2" s="1" t="s">
        <v>92</v>
      </c>
      <c r="F2" s="3" t="s">
        <v>9</v>
      </c>
      <c r="H2" s="1" t="s">
        <v>92</v>
      </c>
      <c r="M2" s="3" t="s">
        <v>9</v>
      </c>
      <c r="N2" s="1" t="s">
        <v>92</v>
      </c>
      <c r="S2" s="3" t="s">
        <v>9</v>
      </c>
      <c r="T2" s="1" t="s">
        <v>92</v>
      </c>
      <c r="Y2" s="3" t="s">
        <v>9</v>
      </c>
    </row>
    <row r="3" spans="1:25" x14ac:dyDescent="0.4">
      <c r="A3" s="1" t="s">
        <v>10</v>
      </c>
      <c r="F3" s="3" t="s">
        <v>11</v>
      </c>
      <c r="H3" s="1" t="s">
        <v>10</v>
      </c>
      <c r="M3" s="3" t="s">
        <v>11</v>
      </c>
      <c r="N3" s="1" t="s">
        <v>10</v>
      </c>
      <c r="S3" s="3" t="s">
        <v>11</v>
      </c>
      <c r="T3" s="1" t="s">
        <v>10</v>
      </c>
      <c r="Y3" s="3" t="s">
        <v>11</v>
      </c>
    </row>
    <row r="4" spans="1:25" x14ac:dyDescent="0.4">
      <c r="A4" s="1"/>
      <c r="F4" s="3" t="s">
        <v>98</v>
      </c>
      <c r="H4" s="1"/>
      <c r="M4" s="3" t="s">
        <v>98</v>
      </c>
      <c r="N4" s="1"/>
      <c r="S4" s="3" t="s">
        <v>98</v>
      </c>
      <c r="T4" s="1"/>
      <c r="Y4" s="3" t="s">
        <v>98</v>
      </c>
    </row>
    <row r="5" spans="1:25" x14ac:dyDescent="0.4">
      <c r="A5" s="4" t="s">
        <v>12</v>
      </c>
      <c r="B5" s="5"/>
      <c r="C5" s="5"/>
      <c r="D5" s="6"/>
      <c r="E5" s="5"/>
      <c r="F5" s="7"/>
      <c r="H5" s="4" t="s">
        <v>12</v>
      </c>
      <c r="I5" s="5"/>
      <c r="J5" s="5"/>
      <c r="K5" s="6"/>
      <c r="L5" s="5"/>
      <c r="M5" s="7"/>
      <c r="N5" s="4" t="s">
        <v>12</v>
      </c>
      <c r="O5" s="5"/>
      <c r="P5" s="5"/>
      <c r="Q5" s="6"/>
      <c r="R5" s="5"/>
      <c r="S5" s="7"/>
      <c r="T5" s="4" t="s">
        <v>12</v>
      </c>
      <c r="U5" s="5"/>
      <c r="V5" s="5"/>
      <c r="W5" s="6"/>
      <c r="X5" s="5"/>
      <c r="Y5" s="7"/>
    </row>
    <row r="6" spans="1:25" x14ac:dyDescent="0.4">
      <c r="A6" s="8" t="s">
        <v>1</v>
      </c>
      <c r="C6" s="9" t="s">
        <v>94</v>
      </c>
      <c r="D6" s="9"/>
      <c r="E6" s="10" t="s">
        <v>31</v>
      </c>
      <c r="F6" s="11" t="s">
        <v>2</v>
      </c>
      <c r="H6" s="8" t="s">
        <v>1</v>
      </c>
      <c r="J6" s="9" t="s">
        <v>94</v>
      </c>
      <c r="K6" s="9"/>
      <c r="L6" s="10" t="s">
        <v>31</v>
      </c>
      <c r="M6" s="11" t="s">
        <v>2</v>
      </c>
      <c r="N6" s="8" t="s">
        <v>1</v>
      </c>
      <c r="P6" s="9" t="s">
        <v>94</v>
      </c>
      <c r="Q6" s="9"/>
      <c r="R6" s="10" t="s">
        <v>31</v>
      </c>
      <c r="S6" s="11" t="s">
        <v>2</v>
      </c>
      <c r="T6" s="8" t="s">
        <v>1</v>
      </c>
      <c r="V6" s="9" t="s">
        <v>94</v>
      </c>
      <c r="W6" s="9"/>
      <c r="X6" s="10" t="s">
        <v>31</v>
      </c>
      <c r="Y6" s="11" t="s">
        <v>2</v>
      </c>
    </row>
    <row r="7" spans="1:25" x14ac:dyDescent="0.4">
      <c r="A7" s="12" t="s">
        <v>3</v>
      </c>
      <c r="C7" s="13" t="s">
        <v>4</v>
      </c>
      <c r="D7" s="13"/>
      <c r="E7" s="9">
        <f>'1 курс'!$H$16</f>
        <v>2</v>
      </c>
      <c r="F7" s="11" t="s">
        <v>5</v>
      </c>
      <c r="H7" s="12" t="s">
        <v>3</v>
      </c>
      <c r="J7" s="13" t="s">
        <v>4</v>
      </c>
      <c r="K7" s="13"/>
      <c r="L7" s="9">
        <f>'1 курс'!$H$16</f>
        <v>2</v>
      </c>
      <c r="M7" s="11" t="s">
        <v>5</v>
      </c>
      <c r="N7" s="12" t="s">
        <v>3</v>
      </c>
      <c r="P7" s="13" t="s">
        <v>4</v>
      </c>
      <c r="Q7" s="13"/>
      <c r="R7" s="9">
        <f>'1 курс'!$H$16</f>
        <v>2</v>
      </c>
      <c r="S7" s="11" t="s">
        <v>5</v>
      </c>
      <c r="T7" s="12" t="s">
        <v>3</v>
      </c>
      <c r="V7" s="13" t="s">
        <v>4</v>
      </c>
      <c r="W7" s="13"/>
      <c r="X7" s="9">
        <f>'1 курс'!$H$16</f>
        <v>2</v>
      </c>
      <c r="Y7" s="11" t="s">
        <v>5</v>
      </c>
    </row>
    <row r="8" spans="1:25" x14ac:dyDescent="0.4">
      <c r="A8" s="12" t="s">
        <v>15</v>
      </c>
      <c r="C8" s="14" t="str">
        <f>'1 курс'!$C$8</f>
        <v>40.03.01 Юриспруденция</v>
      </c>
      <c r="D8" s="14"/>
      <c r="E8" s="15" t="s">
        <v>63</v>
      </c>
      <c r="F8" s="16" t="s">
        <v>6</v>
      </c>
      <c r="H8" s="12" t="s">
        <v>15</v>
      </c>
      <c r="J8" s="14" t="str">
        <f>'1 курс'!$C$8</f>
        <v>40.03.01 Юриспруденция</v>
      </c>
      <c r="K8" s="14"/>
      <c r="L8" s="15" t="s">
        <v>64</v>
      </c>
      <c r="M8" s="16" t="s">
        <v>6</v>
      </c>
      <c r="N8" s="12" t="s">
        <v>15</v>
      </c>
      <c r="P8" s="14" t="str">
        <f>'1 курс'!$C$8</f>
        <v>40.03.01 Юриспруденция</v>
      </c>
      <c r="Q8" s="14"/>
      <c r="R8" s="15" t="s">
        <v>65</v>
      </c>
      <c r="S8" s="16" t="s">
        <v>6</v>
      </c>
      <c r="T8" s="12" t="s">
        <v>15</v>
      </c>
      <c r="V8" s="14" t="str">
        <f>'1 курс'!$C$8</f>
        <v>40.03.01 Юриспруденция</v>
      </c>
      <c r="W8" s="14"/>
      <c r="X8" s="15" t="s">
        <v>100</v>
      </c>
      <c r="Y8" s="16" t="s">
        <v>6</v>
      </c>
    </row>
    <row r="9" spans="1:25" ht="16.5" customHeight="1" x14ac:dyDescent="0.4">
      <c r="A9" s="70" t="s">
        <v>24</v>
      </c>
      <c r="C9" s="317" t="s">
        <v>99</v>
      </c>
      <c r="D9" s="317"/>
      <c r="E9" s="317"/>
      <c r="F9" s="317"/>
      <c r="H9" s="70" t="s">
        <v>24</v>
      </c>
      <c r="J9" s="317" t="s">
        <v>67</v>
      </c>
      <c r="K9" s="317"/>
      <c r="L9" s="317"/>
      <c r="M9" s="317"/>
      <c r="N9" s="70" t="s">
        <v>24</v>
      </c>
      <c r="P9" s="317" t="s">
        <v>68</v>
      </c>
      <c r="Q9" s="317"/>
      <c r="R9" s="317"/>
      <c r="S9" s="317"/>
      <c r="T9" s="70" t="s">
        <v>24</v>
      </c>
      <c r="V9" s="317" t="s">
        <v>68</v>
      </c>
      <c r="W9" s="317"/>
      <c r="X9" s="317"/>
      <c r="Y9" s="317"/>
    </row>
    <row r="10" spans="1:25" ht="16.5" customHeight="1" thickBot="1" x14ac:dyDescent="0.45">
      <c r="A10" s="70" t="s">
        <v>33</v>
      </c>
      <c r="C10" s="202" t="s">
        <v>104</v>
      </c>
      <c r="D10" s="202"/>
      <c r="E10" s="202"/>
      <c r="F10" s="202"/>
      <c r="H10" s="70" t="s">
        <v>33</v>
      </c>
      <c r="J10" s="292" t="s">
        <v>104</v>
      </c>
      <c r="K10" s="292"/>
      <c r="L10" s="292"/>
      <c r="M10" s="292"/>
      <c r="N10" s="70" t="s">
        <v>33</v>
      </c>
      <c r="P10" s="292" t="s">
        <v>104</v>
      </c>
      <c r="Q10" s="292"/>
      <c r="R10" s="292"/>
      <c r="S10" s="292"/>
      <c r="T10" s="70" t="s">
        <v>33</v>
      </c>
      <c r="V10" s="292" t="s">
        <v>104</v>
      </c>
      <c r="W10" s="292"/>
      <c r="X10" s="292"/>
      <c r="Y10" s="292"/>
    </row>
    <row r="11" spans="1:25" ht="19.5" thickBot="1" x14ac:dyDescent="0.45">
      <c r="A11" s="18" t="s">
        <v>17</v>
      </c>
      <c r="B11" s="19" t="s">
        <v>0</v>
      </c>
      <c r="C11" s="20" t="s">
        <v>25</v>
      </c>
      <c r="D11" s="24"/>
      <c r="E11" s="21"/>
      <c r="F11" s="22"/>
      <c r="G11" s="23" t="s">
        <v>14</v>
      </c>
      <c r="H11" s="18" t="s">
        <v>17</v>
      </c>
      <c r="I11" s="19" t="s">
        <v>0</v>
      </c>
      <c r="J11" s="20" t="s">
        <v>25</v>
      </c>
      <c r="K11" s="24"/>
      <c r="L11" s="21"/>
      <c r="M11" s="22"/>
      <c r="N11" s="18" t="s">
        <v>17</v>
      </c>
      <c r="O11" s="19" t="s">
        <v>0</v>
      </c>
      <c r="P11" s="20" t="s">
        <v>25</v>
      </c>
      <c r="Q11" s="24"/>
      <c r="R11" s="21"/>
      <c r="S11" s="22"/>
      <c r="T11" s="18" t="s">
        <v>17</v>
      </c>
      <c r="U11" s="19" t="s">
        <v>0</v>
      </c>
      <c r="V11" s="20" t="s">
        <v>25</v>
      </c>
      <c r="W11" s="24"/>
      <c r="X11" s="21"/>
      <c r="Y11" s="22"/>
    </row>
    <row r="12" spans="1:25" ht="15.75" customHeight="1" x14ac:dyDescent="0.4">
      <c r="A12" s="25" t="s">
        <v>18</v>
      </c>
      <c r="B12" s="26">
        <v>1</v>
      </c>
      <c r="C12" s="190" t="s">
        <v>132</v>
      </c>
      <c r="D12" s="191"/>
      <c r="E12" s="191"/>
      <c r="F12" s="192"/>
      <c r="G12" s="114" t="s">
        <v>133</v>
      </c>
      <c r="H12" s="25" t="s">
        <v>18</v>
      </c>
      <c r="I12" s="26">
        <v>1</v>
      </c>
      <c r="J12" s="190"/>
      <c r="K12" s="191"/>
      <c r="L12" s="191"/>
      <c r="M12" s="192"/>
      <c r="N12" s="25" t="s">
        <v>18</v>
      </c>
      <c r="O12" s="26">
        <v>1</v>
      </c>
      <c r="P12" s="190"/>
      <c r="Q12" s="191"/>
      <c r="R12" s="191"/>
      <c r="S12" s="192"/>
      <c r="T12" s="25" t="s">
        <v>18</v>
      </c>
      <c r="U12" s="26">
        <v>1</v>
      </c>
      <c r="V12" s="190" t="s">
        <v>146</v>
      </c>
      <c r="W12" s="191"/>
      <c r="X12" s="191"/>
      <c r="Y12" s="192"/>
    </row>
    <row r="13" spans="1:25" x14ac:dyDescent="0.4">
      <c r="A13" s="28"/>
      <c r="B13" s="29">
        <v>2</v>
      </c>
      <c r="C13" s="243" t="s">
        <v>134</v>
      </c>
      <c r="D13" s="244"/>
      <c r="E13" s="244"/>
      <c r="F13" s="245"/>
      <c r="G13" s="110" t="s">
        <v>35</v>
      </c>
      <c r="H13" s="28"/>
      <c r="I13" s="29">
        <v>2</v>
      </c>
      <c r="J13" s="243"/>
      <c r="K13" s="244"/>
      <c r="L13" s="244"/>
      <c r="M13" s="245"/>
      <c r="N13" s="28"/>
      <c r="O13" s="29">
        <v>2</v>
      </c>
      <c r="P13" s="243" t="s">
        <v>135</v>
      </c>
      <c r="Q13" s="244"/>
      <c r="R13" s="244"/>
      <c r="S13" s="245"/>
      <c r="T13" s="28"/>
      <c r="U13" s="29">
        <v>2</v>
      </c>
      <c r="V13" s="243" t="s">
        <v>136</v>
      </c>
      <c r="W13" s="244"/>
      <c r="X13" s="244"/>
      <c r="Y13" s="245"/>
    </row>
    <row r="14" spans="1:25" ht="18" customHeight="1" x14ac:dyDescent="0.4">
      <c r="A14" s="28"/>
      <c r="B14" s="29">
        <v>3</v>
      </c>
      <c r="C14" s="243"/>
      <c r="D14" s="244"/>
      <c r="E14" s="244"/>
      <c r="F14" s="245"/>
      <c r="G14" s="110"/>
      <c r="H14" s="28"/>
      <c r="I14" s="29">
        <v>3</v>
      </c>
      <c r="J14" s="243" t="s">
        <v>134</v>
      </c>
      <c r="K14" s="244"/>
      <c r="L14" s="244"/>
      <c r="M14" s="245"/>
      <c r="N14" s="28"/>
      <c r="O14" s="29">
        <v>3</v>
      </c>
      <c r="P14" s="243" t="s">
        <v>230</v>
      </c>
      <c r="Q14" s="244"/>
      <c r="R14" s="244"/>
      <c r="S14" s="245"/>
      <c r="T14" s="28"/>
      <c r="U14" s="29">
        <v>3</v>
      </c>
      <c r="V14" s="243" t="s">
        <v>137</v>
      </c>
      <c r="W14" s="244"/>
      <c r="X14" s="244"/>
      <c r="Y14" s="245"/>
    </row>
    <row r="15" spans="1:25" ht="17.25" customHeight="1" thickBot="1" x14ac:dyDescent="0.45">
      <c r="A15" s="28"/>
      <c r="B15" s="29" t="s">
        <v>123</v>
      </c>
      <c r="C15" s="296" t="s">
        <v>78</v>
      </c>
      <c r="D15" s="297"/>
      <c r="E15" s="297"/>
      <c r="F15" s="298"/>
      <c r="G15" s="30"/>
      <c r="H15" s="28"/>
      <c r="I15" s="29" t="s">
        <v>123</v>
      </c>
      <c r="J15" s="255" t="s">
        <v>78</v>
      </c>
      <c r="K15" s="256"/>
      <c r="L15" s="256"/>
      <c r="M15" s="257"/>
      <c r="N15" s="28"/>
      <c r="O15" s="29" t="s">
        <v>123</v>
      </c>
      <c r="P15" s="255" t="s">
        <v>78</v>
      </c>
      <c r="Q15" s="256"/>
      <c r="R15" s="256"/>
      <c r="S15" s="257"/>
      <c r="T15" s="28"/>
      <c r="U15" s="29" t="s">
        <v>123</v>
      </c>
      <c r="V15" s="255" t="s">
        <v>78</v>
      </c>
      <c r="W15" s="256"/>
      <c r="X15" s="256"/>
      <c r="Y15" s="257"/>
    </row>
    <row r="16" spans="1:25" ht="15.75" customHeight="1" x14ac:dyDescent="0.4">
      <c r="A16" s="34" t="s">
        <v>19</v>
      </c>
      <c r="B16" s="35">
        <v>1</v>
      </c>
      <c r="C16" s="302" t="s">
        <v>76</v>
      </c>
      <c r="D16" s="279"/>
      <c r="E16" s="279" t="s">
        <v>75</v>
      </c>
      <c r="F16" s="280"/>
      <c r="G16" s="113" t="s">
        <v>71</v>
      </c>
      <c r="H16" s="34" t="s">
        <v>19</v>
      </c>
      <c r="I16" s="35">
        <v>1</v>
      </c>
      <c r="J16" s="240"/>
      <c r="K16" s="241"/>
      <c r="L16" s="241"/>
      <c r="M16" s="242"/>
      <c r="N16" s="34" t="s">
        <v>19</v>
      </c>
      <c r="O16" s="35">
        <v>1</v>
      </c>
      <c r="P16" s="140"/>
      <c r="Q16" s="141"/>
      <c r="R16" s="141"/>
      <c r="S16" s="142"/>
      <c r="T16" s="34" t="s">
        <v>19</v>
      </c>
      <c r="U16" s="35">
        <v>1</v>
      </c>
      <c r="V16" s="299"/>
      <c r="W16" s="300"/>
      <c r="X16" s="300"/>
      <c r="Y16" s="301"/>
    </row>
    <row r="17" spans="1:25" ht="18.75" customHeight="1" x14ac:dyDescent="0.4">
      <c r="A17" s="28"/>
      <c r="B17" s="29">
        <v>2</v>
      </c>
      <c r="C17" s="134" t="s">
        <v>139</v>
      </c>
      <c r="D17" s="135"/>
      <c r="E17" s="135"/>
      <c r="F17" s="136"/>
      <c r="G17" s="111" t="s">
        <v>40</v>
      </c>
      <c r="H17" s="28"/>
      <c r="I17" s="29">
        <v>2</v>
      </c>
      <c r="J17" s="181" t="s">
        <v>76</v>
      </c>
      <c r="K17" s="287"/>
      <c r="L17" s="288" t="s">
        <v>138</v>
      </c>
      <c r="M17" s="183"/>
      <c r="N17" s="28"/>
      <c r="O17" s="29">
        <v>2</v>
      </c>
      <c r="P17" s="196"/>
      <c r="Q17" s="197"/>
      <c r="R17" s="197"/>
      <c r="S17" s="198"/>
      <c r="T17" s="28"/>
      <c r="U17" s="29">
        <v>2</v>
      </c>
      <c r="V17" s="243"/>
      <c r="W17" s="244"/>
      <c r="X17" s="244"/>
      <c r="Y17" s="245"/>
    </row>
    <row r="18" spans="1:25" ht="16.5" customHeight="1" x14ac:dyDescent="0.4">
      <c r="A18" s="28"/>
      <c r="B18" s="29">
        <v>3</v>
      </c>
      <c r="C18" s="237" t="s">
        <v>140</v>
      </c>
      <c r="D18" s="238"/>
      <c r="E18" s="238"/>
      <c r="F18" s="239"/>
      <c r="G18" s="117" t="s">
        <v>127</v>
      </c>
      <c r="H18" s="28"/>
      <c r="I18" s="29">
        <v>3</v>
      </c>
      <c r="J18" s="237" t="s">
        <v>139</v>
      </c>
      <c r="K18" s="238"/>
      <c r="L18" s="238"/>
      <c r="M18" s="239"/>
      <c r="N18" s="28"/>
      <c r="O18" s="29">
        <v>3</v>
      </c>
      <c r="P18" s="128"/>
      <c r="Q18" s="325"/>
      <c r="R18" s="326" t="s">
        <v>138</v>
      </c>
      <c r="S18" s="151"/>
      <c r="T18" s="28"/>
      <c r="U18" s="29">
        <v>3</v>
      </c>
      <c r="V18" s="243" t="s">
        <v>142</v>
      </c>
      <c r="W18" s="244"/>
      <c r="X18" s="244"/>
      <c r="Y18" s="245"/>
    </row>
    <row r="19" spans="1:25" ht="17.25" customHeight="1" thickBot="1" x14ac:dyDescent="0.45">
      <c r="A19" s="36"/>
      <c r="B19" s="32">
        <v>4</v>
      </c>
      <c r="C19" s="137"/>
      <c r="D19" s="138"/>
      <c r="E19" s="138"/>
      <c r="F19" s="139"/>
      <c r="G19" s="111"/>
      <c r="H19" s="28"/>
      <c r="I19" s="29">
        <v>4</v>
      </c>
      <c r="J19" s="137"/>
      <c r="K19" s="138"/>
      <c r="L19" s="138"/>
      <c r="M19" s="139"/>
      <c r="N19" s="36"/>
      <c r="O19" s="32">
        <v>4</v>
      </c>
      <c r="P19" s="324" t="s">
        <v>139</v>
      </c>
      <c r="Q19" s="224"/>
      <c r="R19" s="224"/>
      <c r="S19" s="225"/>
      <c r="T19" s="36"/>
      <c r="U19" s="32">
        <v>4</v>
      </c>
      <c r="V19" s="137"/>
      <c r="W19" s="138"/>
      <c r="X19" s="138"/>
      <c r="Y19" s="139"/>
    </row>
    <row r="20" spans="1:25" ht="36.75" customHeight="1" x14ac:dyDescent="0.4">
      <c r="A20" s="34" t="s">
        <v>20</v>
      </c>
      <c r="B20" s="35">
        <v>1</v>
      </c>
      <c r="C20" s="154"/>
      <c r="D20" s="155"/>
      <c r="E20" s="155"/>
      <c r="F20" s="156"/>
      <c r="G20" s="27"/>
      <c r="H20" s="34" t="s">
        <v>20</v>
      </c>
      <c r="I20" s="35">
        <v>2</v>
      </c>
      <c r="J20" s="321" t="s">
        <v>129</v>
      </c>
      <c r="K20" s="322"/>
      <c r="L20" s="322"/>
      <c r="M20" s="323"/>
      <c r="N20" s="25" t="s">
        <v>20</v>
      </c>
      <c r="O20" s="26">
        <v>1</v>
      </c>
      <c r="P20" s="281" t="s">
        <v>143</v>
      </c>
      <c r="Q20" s="282"/>
      <c r="R20" s="282"/>
      <c r="S20" s="283"/>
      <c r="T20" s="25" t="s">
        <v>20</v>
      </c>
      <c r="U20" s="26">
        <v>1</v>
      </c>
      <c r="V20" s="154"/>
      <c r="W20" s="155"/>
      <c r="X20" s="155"/>
      <c r="Y20" s="156"/>
    </row>
    <row r="21" spans="1:25" ht="33" customHeight="1" x14ac:dyDescent="0.4">
      <c r="A21" s="28"/>
      <c r="B21" s="29">
        <v>2</v>
      </c>
      <c r="C21" s="289" t="s">
        <v>129</v>
      </c>
      <c r="D21" s="290"/>
      <c r="E21" s="290"/>
      <c r="F21" s="291"/>
      <c r="G21" s="110" t="s">
        <v>80</v>
      </c>
      <c r="H21" s="28"/>
      <c r="I21" s="29">
        <v>3</v>
      </c>
      <c r="J21" s="149" t="s">
        <v>81</v>
      </c>
      <c r="K21" s="150"/>
      <c r="L21" s="150"/>
      <c r="M21" s="151"/>
      <c r="N21" s="28"/>
      <c r="O21" s="29">
        <v>2</v>
      </c>
      <c r="P21" s="289" t="s">
        <v>129</v>
      </c>
      <c r="Q21" s="290"/>
      <c r="R21" s="290"/>
      <c r="S21" s="291"/>
      <c r="T21" s="28"/>
      <c r="U21" s="29">
        <v>2</v>
      </c>
      <c r="V21" s="289" t="s">
        <v>129</v>
      </c>
      <c r="W21" s="290"/>
      <c r="X21" s="290"/>
      <c r="Y21" s="291"/>
    </row>
    <row r="22" spans="1:25" ht="36" customHeight="1" x14ac:dyDescent="0.4">
      <c r="A22" s="28"/>
      <c r="B22" s="29">
        <v>3</v>
      </c>
      <c r="C22" s="149" t="s">
        <v>81</v>
      </c>
      <c r="D22" s="150"/>
      <c r="E22" s="150"/>
      <c r="F22" s="151"/>
      <c r="G22" s="110" t="s">
        <v>82</v>
      </c>
      <c r="H22" s="28"/>
      <c r="I22" s="29">
        <v>4</v>
      </c>
      <c r="J22" s="149" t="s">
        <v>156</v>
      </c>
      <c r="K22" s="150"/>
      <c r="L22" s="150"/>
      <c r="M22" s="151"/>
      <c r="N22" s="28"/>
      <c r="O22" s="29">
        <v>3</v>
      </c>
      <c r="P22" s="134" t="s">
        <v>81</v>
      </c>
      <c r="Q22" s="135"/>
      <c r="R22" s="135"/>
      <c r="S22" s="136"/>
      <c r="T22" s="28"/>
      <c r="U22" s="29">
        <v>3</v>
      </c>
      <c r="V22" s="149" t="s">
        <v>81</v>
      </c>
      <c r="W22" s="150"/>
      <c r="X22" s="150"/>
      <c r="Y22" s="151"/>
    </row>
    <row r="23" spans="1:25" ht="18.75" customHeight="1" thickBot="1" x14ac:dyDescent="0.45">
      <c r="A23" s="36"/>
      <c r="B23" s="32">
        <v>4</v>
      </c>
      <c r="C23" s="149" t="s">
        <v>156</v>
      </c>
      <c r="D23" s="150"/>
      <c r="E23" s="150"/>
      <c r="F23" s="151"/>
      <c r="G23" s="110" t="s">
        <v>49</v>
      </c>
      <c r="H23" s="28"/>
      <c r="I23" s="57">
        <v>5</v>
      </c>
      <c r="J23" s="284" t="s">
        <v>228</v>
      </c>
      <c r="K23" s="285"/>
      <c r="L23" s="285"/>
      <c r="M23" s="286"/>
      <c r="N23" s="28"/>
      <c r="O23" s="29">
        <v>4</v>
      </c>
      <c r="P23" s="246" t="s">
        <v>156</v>
      </c>
      <c r="Q23" s="247"/>
      <c r="R23" s="247"/>
      <c r="S23" s="248"/>
      <c r="T23" s="28"/>
      <c r="U23" s="29">
        <v>4</v>
      </c>
      <c r="V23" s="246" t="s">
        <v>156</v>
      </c>
      <c r="W23" s="247"/>
      <c r="X23" s="247"/>
      <c r="Y23" s="248"/>
    </row>
    <row r="24" spans="1:25" ht="21" customHeight="1" x14ac:dyDescent="0.4">
      <c r="A24" s="25" t="s">
        <v>21</v>
      </c>
      <c r="B24" s="26">
        <v>1</v>
      </c>
      <c r="C24" s="190" t="s">
        <v>141</v>
      </c>
      <c r="D24" s="191"/>
      <c r="E24" s="191"/>
      <c r="F24" s="192"/>
      <c r="G24" s="114" t="s">
        <v>108</v>
      </c>
      <c r="H24" s="51" t="s">
        <v>21</v>
      </c>
      <c r="I24" s="35">
        <v>1</v>
      </c>
      <c r="J24" s="190"/>
      <c r="K24" s="191"/>
      <c r="L24" s="191"/>
      <c r="M24" s="192"/>
      <c r="N24" s="34" t="s">
        <v>21</v>
      </c>
      <c r="O24" s="52">
        <v>1</v>
      </c>
      <c r="P24" s="318" t="s">
        <v>148</v>
      </c>
      <c r="Q24" s="319"/>
      <c r="R24" s="319"/>
      <c r="S24" s="320"/>
      <c r="T24" s="34" t="s">
        <v>21</v>
      </c>
      <c r="U24" s="84">
        <v>1</v>
      </c>
      <c r="V24" s="190" t="s">
        <v>151</v>
      </c>
      <c r="W24" s="191"/>
      <c r="X24" s="191"/>
      <c r="Y24" s="192"/>
    </row>
    <row r="25" spans="1:25" ht="18" customHeight="1" x14ac:dyDescent="0.4">
      <c r="A25" s="28"/>
      <c r="B25" s="29">
        <v>2</v>
      </c>
      <c r="C25" s="149" t="s">
        <v>149</v>
      </c>
      <c r="D25" s="150"/>
      <c r="E25" s="150"/>
      <c r="F25" s="151"/>
      <c r="G25" s="110" t="s">
        <v>41</v>
      </c>
      <c r="H25" s="53"/>
      <c r="I25" s="29">
        <v>2</v>
      </c>
      <c r="J25" s="149" t="s">
        <v>147</v>
      </c>
      <c r="K25" s="150"/>
      <c r="L25" s="150"/>
      <c r="M25" s="151"/>
      <c r="N25" s="28"/>
      <c r="O25" s="29">
        <v>2</v>
      </c>
      <c r="P25" s="134" t="s">
        <v>58</v>
      </c>
      <c r="Q25" s="135"/>
      <c r="R25" s="135"/>
      <c r="S25" s="136"/>
      <c r="T25" s="28"/>
      <c r="U25" s="29">
        <v>2</v>
      </c>
      <c r="V25" s="134" t="s">
        <v>150</v>
      </c>
      <c r="W25" s="135"/>
      <c r="X25" s="135"/>
      <c r="Y25" s="136"/>
    </row>
    <row r="26" spans="1:25" ht="17.25" customHeight="1" x14ac:dyDescent="0.4">
      <c r="A26" s="28"/>
      <c r="B26" s="29">
        <v>3</v>
      </c>
      <c r="C26" s="149" t="s">
        <v>58</v>
      </c>
      <c r="D26" s="150"/>
      <c r="E26" s="150"/>
      <c r="F26" s="151"/>
      <c r="G26" s="110" t="s">
        <v>46</v>
      </c>
      <c r="H26" s="53"/>
      <c r="I26" s="29">
        <v>3</v>
      </c>
      <c r="J26" s="134" t="s">
        <v>150</v>
      </c>
      <c r="K26" s="135"/>
      <c r="L26" s="135"/>
      <c r="M26" s="136"/>
      <c r="N26" s="28"/>
      <c r="O26" s="29">
        <v>3</v>
      </c>
      <c r="P26" s="134" t="s">
        <v>36</v>
      </c>
      <c r="Q26" s="135"/>
      <c r="R26" s="307"/>
      <c r="S26" s="308"/>
      <c r="T26" s="28"/>
      <c r="U26" s="29">
        <v>3</v>
      </c>
      <c r="V26" s="149" t="s">
        <v>149</v>
      </c>
      <c r="W26" s="150"/>
      <c r="X26" s="150"/>
      <c r="Y26" s="151"/>
    </row>
    <row r="27" spans="1:25" ht="19.5" customHeight="1" thickBot="1" x14ac:dyDescent="0.45">
      <c r="A27" s="28"/>
      <c r="B27" s="29" t="s">
        <v>123</v>
      </c>
      <c r="C27" s="255" t="s">
        <v>78</v>
      </c>
      <c r="D27" s="256"/>
      <c r="E27" s="256"/>
      <c r="F27" s="257"/>
      <c r="G27" s="33"/>
      <c r="H27" s="83"/>
      <c r="I27" s="29" t="s">
        <v>123</v>
      </c>
      <c r="J27" s="255" t="s">
        <v>78</v>
      </c>
      <c r="K27" s="256"/>
      <c r="L27" s="256"/>
      <c r="M27" s="257"/>
      <c r="N27" s="36"/>
      <c r="O27" s="29" t="s">
        <v>123</v>
      </c>
      <c r="P27" s="276" t="s">
        <v>78</v>
      </c>
      <c r="Q27" s="277"/>
      <c r="R27" s="277"/>
      <c r="S27" s="278"/>
      <c r="T27" s="36"/>
      <c r="U27" s="29" t="s">
        <v>123</v>
      </c>
      <c r="V27" s="296" t="s">
        <v>78</v>
      </c>
      <c r="W27" s="297"/>
      <c r="X27" s="297"/>
      <c r="Y27" s="298"/>
    </row>
    <row r="28" spans="1:25" ht="17.25" customHeight="1" x14ac:dyDescent="0.4">
      <c r="A28" s="34" t="s">
        <v>22</v>
      </c>
      <c r="B28" s="35">
        <v>1</v>
      </c>
      <c r="C28" s="293" t="s">
        <v>145</v>
      </c>
      <c r="D28" s="294"/>
      <c r="E28" s="294"/>
      <c r="F28" s="295"/>
      <c r="G28" s="115" t="s">
        <v>126</v>
      </c>
      <c r="H28" s="34" t="s">
        <v>22</v>
      </c>
      <c r="I28" s="35">
        <v>1</v>
      </c>
      <c r="J28" s="270" t="s">
        <v>144</v>
      </c>
      <c r="K28" s="271"/>
      <c r="L28" s="271"/>
      <c r="M28" s="272"/>
      <c r="N28" s="34" t="s">
        <v>22</v>
      </c>
      <c r="O28" s="35">
        <v>1</v>
      </c>
      <c r="P28" s="273"/>
      <c r="Q28" s="274"/>
      <c r="R28" s="274"/>
      <c r="S28" s="275"/>
      <c r="T28" s="34" t="s">
        <v>22</v>
      </c>
      <c r="U28" s="35">
        <v>2</v>
      </c>
      <c r="V28" s="303"/>
      <c r="W28" s="304"/>
      <c r="X28" s="304"/>
      <c r="Y28" s="305"/>
    </row>
    <row r="29" spans="1:25" ht="18" customHeight="1" x14ac:dyDescent="0.4">
      <c r="A29" s="37"/>
      <c r="B29" s="29">
        <v>2</v>
      </c>
      <c r="C29" s="243" t="s">
        <v>131</v>
      </c>
      <c r="D29" s="244"/>
      <c r="E29" s="244"/>
      <c r="F29" s="245"/>
      <c r="G29" s="110" t="s">
        <v>42</v>
      </c>
      <c r="H29" s="37"/>
      <c r="I29" s="29">
        <v>2</v>
      </c>
      <c r="J29" s="134" t="s">
        <v>130</v>
      </c>
      <c r="K29" s="135"/>
      <c r="L29" s="135"/>
      <c r="M29" s="136"/>
      <c r="N29" s="37"/>
      <c r="O29" s="29">
        <v>2</v>
      </c>
      <c r="P29" s="172"/>
      <c r="Q29" s="173"/>
      <c r="R29" s="173"/>
      <c r="S29" s="174"/>
      <c r="T29" s="37"/>
      <c r="U29" s="29">
        <v>3</v>
      </c>
      <c r="V29" s="306"/>
      <c r="W29" s="307"/>
      <c r="X29" s="307"/>
      <c r="Y29" s="308"/>
    </row>
    <row r="30" spans="1:25" x14ac:dyDescent="0.4">
      <c r="A30" s="37"/>
      <c r="B30" s="29">
        <v>3</v>
      </c>
      <c r="C30" s="178"/>
      <c r="D30" s="179"/>
      <c r="E30" s="179"/>
      <c r="F30" s="180"/>
      <c r="G30" s="110"/>
      <c r="H30" s="37"/>
      <c r="I30" s="29">
        <v>3</v>
      </c>
      <c r="J30" s="149" t="s">
        <v>131</v>
      </c>
      <c r="K30" s="150"/>
      <c r="L30" s="150"/>
      <c r="M30" s="151"/>
      <c r="N30" s="37"/>
      <c r="O30" s="29">
        <v>3</v>
      </c>
      <c r="P30" s="243" t="s">
        <v>130</v>
      </c>
      <c r="Q30" s="244"/>
      <c r="R30" s="244"/>
      <c r="S30" s="245"/>
      <c r="T30" s="37"/>
      <c r="U30" s="29">
        <v>4</v>
      </c>
      <c r="V30" s="134" t="s">
        <v>152</v>
      </c>
      <c r="W30" s="135"/>
      <c r="X30" s="135"/>
      <c r="Y30" s="136"/>
    </row>
    <row r="31" spans="1:25" ht="20.25" customHeight="1" thickBot="1" x14ac:dyDescent="0.45">
      <c r="A31" s="58"/>
      <c r="B31" s="57">
        <v>4</v>
      </c>
      <c r="C31" s="213"/>
      <c r="D31" s="214"/>
      <c r="E31" s="214"/>
      <c r="F31" s="215"/>
      <c r="G31" s="50"/>
      <c r="H31" s="38"/>
      <c r="I31" s="32">
        <v>4</v>
      </c>
      <c r="J31" s="249"/>
      <c r="K31" s="250"/>
      <c r="L31" s="250"/>
      <c r="M31" s="251"/>
      <c r="N31" s="38"/>
      <c r="O31" s="32">
        <v>4</v>
      </c>
      <c r="P31" s="249" t="s">
        <v>131</v>
      </c>
      <c r="Q31" s="250"/>
      <c r="R31" s="250"/>
      <c r="S31" s="251"/>
      <c r="T31" s="38"/>
      <c r="U31" s="32">
        <v>5</v>
      </c>
      <c r="V31" s="309" t="s">
        <v>76</v>
      </c>
      <c r="W31" s="310"/>
      <c r="X31" s="208"/>
      <c r="Y31" s="209"/>
    </row>
    <row r="32" spans="1:25" ht="18" customHeight="1" x14ac:dyDescent="0.4">
      <c r="A32" s="59" t="s">
        <v>23</v>
      </c>
      <c r="B32" s="35">
        <v>1</v>
      </c>
      <c r="C32" s="146" t="s">
        <v>30</v>
      </c>
      <c r="D32" s="147"/>
      <c r="E32" s="147"/>
      <c r="F32" s="148"/>
      <c r="G32" s="125"/>
      <c r="H32" s="59" t="s">
        <v>23</v>
      </c>
      <c r="I32" s="35">
        <v>1</v>
      </c>
      <c r="J32" s="146" t="s">
        <v>30</v>
      </c>
      <c r="K32" s="147"/>
      <c r="L32" s="147"/>
      <c r="M32" s="148"/>
      <c r="N32" s="59" t="s">
        <v>23</v>
      </c>
      <c r="O32" s="35">
        <v>1</v>
      </c>
      <c r="P32" s="146" t="s">
        <v>30</v>
      </c>
      <c r="Q32" s="147"/>
      <c r="R32" s="147"/>
      <c r="S32" s="148"/>
      <c r="T32" s="59" t="s">
        <v>23</v>
      </c>
      <c r="U32" s="35">
        <v>1</v>
      </c>
      <c r="V32" s="314"/>
      <c r="W32" s="315"/>
      <c r="X32" s="315"/>
      <c r="Y32" s="316"/>
    </row>
    <row r="33" spans="1:25" ht="16.5" customHeight="1" x14ac:dyDescent="0.4">
      <c r="A33" s="40"/>
      <c r="B33" s="29">
        <v>2</v>
      </c>
      <c r="C33" s="267"/>
      <c r="D33" s="268"/>
      <c r="E33" s="268"/>
      <c r="F33" s="269"/>
      <c r="G33" s="124"/>
      <c r="H33" s="40"/>
      <c r="I33" s="29">
        <v>2</v>
      </c>
      <c r="J33" s="149"/>
      <c r="K33" s="150"/>
      <c r="L33" s="150"/>
      <c r="M33" s="151"/>
      <c r="N33" s="40"/>
      <c r="O33" s="29">
        <v>2</v>
      </c>
      <c r="P33" s="267"/>
      <c r="Q33" s="268"/>
      <c r="R33" s="268"/>
      <c r="S33" s="269"/>
      <c r="T33" s="40"/>
      <c r="U33" s="29">
        <v>2</v>
      </c>
      <c r="V33" s="243" t="s">
        <v>83</v>
      </c>
      <c r="W33" s="244"/>
      <c r="X33" s="244"/>
      <c r="Y33" s="245"/>
    </row>
    <row r="34" spans="1:25" ht="20.25" customHeight="1" thickBot="1" x14ac:dyDescent="0.45">
      <c r="A34" s="44"/>
      <c r="B34" s="32">
        <v>3</v>
      </c>
      <c r="C34" s="264"/>
      <c r="D34" s="265"/>
      <c r="E34" s="265"/>
      <c r="F34" s="266"/>
      <c r="G34" s="127"/>
      <c r="H34" s="44"/>
      <c r="I34" s="32">
        <v>3</v>
      </c>
      <c r="J34" s="264"/>
      <c r="K34" s="265"/>
      <c r="L34" s="265"/>
      <c r="M34" s="266"/>
      <c r="N34" s="44"/>
      <c r="O34" s="32">
        <v>3</v>
      </c>
      <c r="P34" s="264"/>
      <c r="Q34" s="265"/>
      <c r="R34" s="265"/>
      <c r="S34" s="266"/>
      <c r="T34" s="44"/>
      <c r="U34" s="32">
        <v>3</v>
      </c>
      <c r="V34" s="264"/>
      <c r="W34" s="311"/>
      <c r="X34" s="312" t="s">
        <v>37</v>
      </c>
      <c r="Y34" s="313"/>
    </row>
    <row r="35" spans="1:25" s="66" customFormat="1" ht="9.75" customHeight="1" x14ac:dyDescent="0.4">
      <c r="A35" s="99"/>
      <c r="B35" s="100"/>
      <c r="C35" s="101"/>
      <c r="D35" s="102"/>
      <c r="E35" s="102"/>
      <c r="F35" s="103"/>
      <c r="G35" s="126"/>
      <c r="H35" s="99"/>
      <c r="I35" s="100"/>
      <c r="J35" s="258"/>
      <c r="K35" s="259"/>
      <c r="L35" s="259"/>
      <c r="M35" s="260"/>
      <c r="N35" s="99"/>
      <c r="O35" s="100"/>
      <c r="P35" s="261"/>
      <c r="Q35" s="262"/>
      <c r="R35" s="262"/>
      <c r="S35" s="263"/>
      <c r="T35" s="99"/>
      <c r="U35" s="100"/>
      <c r="V35" s="261"/>
      <c r="W35" s="262"/>
      <c r="X35" s="262"/>
      <c r="Y35" s="263"/>
    </row>
    <row r="36" spans="1:25" ht="17.25" customHeight="1" x14ac:dyDescent="0.4">
      <c r="A36" s="40"/>
      <c r="B36" s="68" t="s">
        <v>28</v>
      </c>
      <c r="C36" s="252" t="s">
        <v>39</v>
      </c>
      <c r="D36" s="253"/>
      <c r="E36" s="253"/>
      <c r="F36" s="254"/>
      <c r="G36" s="111" t="s">
        <v>127</v>
      </c>
      <c r="H36" s="40"/>
      <c r="I36" s="68" t="s">
        <v>28</v>
      </c>
      <c r="J36" s="252" t="s">
        <v>39</v>
      </c>
      <c r="K36" s="253"/>
      <c r="L36" s="253"/>
      <c r="M36" s="254"/>
      <c r="N36" s="40"/>
      <c r="O36" s="68" t="s">
        <v>28</v>
      </c>
      <c r="P36" s="252" t="s">
        <v>39</v>
      </c>
      <c r="Q36" s="253"/>
      <c r="R36" s="253"/>
      <c r="S36" s="254"/>
      <c r="T36" s="40"/>
      <c r="U36" s="68" t="s">
        <v>28</v>
      </c>
      <c r="V36" s="252" t="s">
        <v>39</v>
      </c>
      <c r="W36" s="253"/>
      <c r="X36" s="253"/>
      <c r="Y36" s="254"/>
    </row>
    <row r="37" spans="1:25" ht="17.25" customHeight="1" x14ac:dyDescent="0.4">
      <c r="A37" s="61"/>
      <c r="B37" s="69" t="s">
        <v>28</v>
      </c>
      <c r="C37" s="252" t="s">
        <v>128</v>
      </c>
      <c r="D37" s="253"/>
      <c r="E37" s="253"/>
      <c r="F37" s="254"/>
      <c r="G37" s="112" t="s">
        <v>35</v>
      </c>
      <c r="H37" s="61"/>
      <c r="I37" s="69" t="s">
        <v>28</v>
      </c>
      <c r="J37" s="252" t="s">
        <v>128</v>
      </c>
      <c r="K37" s="253"/>
      <c r="L37" s="253"/>
      <c r="M37" s="254"/>
      <c r="N37" s="61"/>
      <c r="O37" s="69" t="s">
        <v>28</v>
      </c>
      <c r="P37" s="252" t="s">
        <v>128</v>
      </c>
      <c r="Q37" s="253"/>
      <c r="R37" s="253"/>
      <c r="S37" s="254"/>
      <c r="T37" s="61"/>
      <c r="U37" s="69" t="s">
        <v>28</v>
      </c>
      <c r="V37" s="252" t="s">
        <v>128</v>
      </c>
      <c r="W37" s="253"/>
      <c r="X37" s="253"/>
      <c r="Y37" s="254"/>
    </row>
    <row r="38" spans="1:25" ht="17.25" customHeight="1" thickBot="1" x14ac:dyDescent="0.45">
      <c r="A38" s="41"/>
      <c r="B38" s="42" t="s">
        <v>28</v>
      </c>
      <c r="C38" s="131" t="s">
        <v>38</v>
      </c>
      <c r="D38" s="132"/>
      <c r="E38" s="132"/>
      <c r="F38" s="133"/>
      <c r="G38" s="116" t="s">
        <v>125</v>
      </c>
      <c r="H38" s="41"/>
      <c r="I38" s="42" t="s">
        <v>28</v>
      </c>
      <c r="J38" s="131" t="s">
        <v>38</v>
      </c>
      <c r="K38" s="132"/>
      <c r="L38" s="132"/>
      <c r="M38" s="133"/>
      <c r="N38" s="41"/>
      <c r="O38" s="42" t="s">
        <v>28</v>
      </c>
      <c r="P38" s="131" t="s">
        <v>38</v>
      </c>
      <c r="Q38" s="132"/>
      <c r="R38" s="132"/>
      <c r="S38" s="133"/>
      <c r="T38" s="43"/>
      <c r="U38" s="42" t="s">
        <v>28</v>
      </c>
      <c r="V38" s="131" t="s">
        <v>38</v>
      </c>
      <c r="W38" s="132"/>
      <c r="X38" s="132"/>
      <c r="Y38" s="133"/>
    </row>
    <row r="39" spans="1:25" ht="28.5" customHeight="1" x14ac:dyDescent="0.4">
      <c r="A39" s="81" t="s">
        <v>79</v>
      </c>
      <c r="B39" s="82"/>
      <c r="C39" s="236" t="s">
        <v>124</v>
      </c>
      <c r="D39" s="236"/>
      <c r="E39" s="236"/>
      <c r="F39" s="236"/>
      <c r="H39" s="81" t="s">
        <v>79</v>
      </c>
      <c r="I39" s="82"/>
      <c r="J39" s="236" t="s">
        <v>124</v>
      </c>
      <c r="K39" s="236"/>
      <c r="L39" s="236"/>
      <c r="M39" s="236"/>
      <c r="N39" s="81" t="s">
        <v>79</v>
      </c>
      <c r="O39" s="82"/>
      <c r="P39" s="236" t="s">
        <v>124</v>
      </c>
      <c r="Q39" s="236"/>
      <c r="R39" s="236"/>
      <c r="S39" s="236"/>
      <c r="T39" s="81" t="s">
        <v>79</v>
      </c>
      <c r="U39" s="82"/>
      <c r="V39" s="236" t="s">
        <v>124</v>
      </c>
      <c r="W39" s="236"/>
      <c r="X39" s="236"/>
      <c r="Y39" s="236"/>
    </row>
    <row r="40" spans="1:25" x14ac:dyDescent="0.4">
      <c r="B40" s="2" t="s">
        <v>101</v>
      </c>
      <c r="E40" s="2" t="s">
        <v>50</v>
      </c>
      <c r="I40" s="2" t="s">
        <v>101</v>
      </c>
      <c r="L40" s="2" t="s">
        <v>50</v>
      </c>
      <c r="O40" s="2" t="s">
        <v>101</v>
      </c>
      <c r="R40" s="2" t="s">
        <v>50</v>
      </c>
      <c r="U40" s="2" t="s">
        <v>101</v>
      </c>
      <c r="X40" s="2" t="s">
        <v>50</v>
      </c>
    </row>
    <row r="41" spans="1:25" x14ac:dyDescent="0.4">
      <c r="B41" s="2" t="s">
        <v>13</v>
      </c>
      <c r="E41" s="2" t="s">
        <v>102</v>
      </c>
      <c r="I41" s="2" t="s">
        <v>13</v>
      </c>
      <c r="L41" s="2" t="s">
        <v>102</v>
      </c>
      <c r="O41" s="2" t="s">
        <v>13</v>
      </c>
      <c r="R41" s="2" t="s">
        <v>50</v>
      </c>
      <c r="U41" s="2" t="s">
        <v>13</v>
      </c>
      <c r="X41" s="2" t="s">
        <v>50</v>
      </c>
    </row>
  </sheetData>
  <mergeCells count="126">
    <mergeCell ref="C9:F9"/>
    <mergeCell ref="J9:M9"/>
    <mergeCell ref="P9:S9"/>
    <mergeCell ref="V9:Y9"/>
    <mergeCell ref="P24:S24"/>
    <mergeCell ref="C21:F21"/>
    <mergeCell ref="C23:F23"/>
    <mergeCell ref="C27:F27"/>
    <mergeCell ref="J24:M24"/>
    <mergeCell ref="J20:M20"/>
    <mergeCell ref="C25:F25"/>
    <mergeCell ref="V10:Y10"/>
    <mergeCell ref="V12:Y12"/>
    <mergeCell ref="V13:Y13"/>
    <mergeCell ref="V14:Y14"/>
    <mergeCell ref="V15:Y15"/>
    <mergeCell ref="V22:Y22"/>
    <mergeCell ref="V23:Y23"/>
    <mergeCell ref="V24:Y24"/>
    <mergeCell ref="P26:Q26"/>
    <mergeCell ref="R26:S26"/>
    <mergeCell ref="P19:S19"/>
    <mergeCell ref="P18:Q18"/>
    <mergeCell ref="R18:S18"/>
    <mergeCell ref="V36:Y36"/>
    <mergeCell ref="V37:Y37"/>
    <mergeCell ref="V38:Y38"/>
    <mergeCell ref="V33:Y33"/>
    <mergeCell ref="V35:Y35"/>
    <mergeCell ref="V27:Y27"/>
    <mergeCell ref="V28:Y28"/>
    <mergeCell ref="V29:Y29"/>
    <mergeCell ref="V30:Y30"/>
    <mergeCell ref="V31:W31"/>
    <mergeCell ref="X31:Y31"/>
    <mergeCell ref="V34:W34"/>
    <mergeCell ref="X34:Y34"/>
    <mergeCell ref="V32:Y32"/>
    <mergeCell ref="V25:Y25"/>
    <mergeCell ref="V26:Y26"/>
    <mergeCell ref="V20:Y20"/>
    <mergeCell ref="V21:Y21"/>
    <mergeCell ref="J10:M10"/>
    <mergeCell ref="P10:S10"/>
    <mergeCell ref="P14:S14"/>
    <mergeCell ref="J12:M12"/>
    <mergeCell ref="C28:F28"/>
    <mergeCell ref="P15:S15"/>
    <mergeCell ref="C10:D10"/>
    <mergeCell ref="E10:F10"/>
    <mergeCell ref="C14:F14"/>
    <mergeCell ref="J14:M14"/>
    <mergeCell ref="J15:M15"/>
    <mergeCell ref="P12:S12"/>
    <mergeCell ref="P13:S13"/>
    <mergeCell ref="C12:F12"/>
    <mergeCell ref="J13:M13"/>
    <mergeCell ref="C13:F13"/>
    <mergeCell ref="C15:F15"/>
    <mergeCell ref="C22:F22"/>
    <mergeCell ref="V16:Y16"/>
    <mergeCell ref="C16:D16"/>
    <mergeCell ref="E16:F16"/>
    <mergeCell ref="P20:S20"/>
    <mergeCell ref="J23:M23"/>
    <mergeCell ref="C26:F26"/>
    <mergeCell ref="C20:F20"/>
    <mergeCell ref="C19:F19"/>
    <mergeCell ref="C18:F18"/>
    <mergeCell ref="C24:F24"/>
    <mergeCell ref="P25:S25"/>
    <mergeCell ref="J25:M25"/>
    <mergeCell ref="J22:M22"/>
    <mergeCell ref="P22:S22"/>
    <mergeCell ref="J19:M19"/>
    <mergeCell ref="J17:K17"/>
    <mergeCell ref="L17:M17"/>
    <mergeCell ref="P16:S16"/>
    <mergeCell ref="P21:S21"/>
    <mergeCell ref="J21:M21"/>
    <mergeCell ref="C33:F33"/>
    <mergeCell ref="J29:M29"/>
    <mergeCell ref="C36:F36"/>
    <mergeCell ref="C38:F38"/>
    <mergeCell ref="J32:M32"/>
    <mergeCell ref="C37:F37"/>
    <mergeCell ref="J37:M37"/>
    <mergeCell ref="C34:F34"/>
    <mergeCell ref="J34:M34"/>
    <mergeCell ref="C32:F32"/>
    <mergeCell ref="C29:F29"/>
    <mergeCell ref="C31:F31"/>
    <mergeCell ref="C30:F30"/>
    <mergeCell ref="P34:S34"/>
    <mergeCell ref="P33:S33"/>
    <mergeCell ref="J28:M28"/>
    <mergeCell ref="P29:S29"/>
    <mergeCell ref="J33:M33"/>
    <mergeCell ref="P28:S28"/>
    <mergeCell ref="P27:S27"/>
    <mergeCell ref="P32:S32"/>
    <mergeCell ref="J38:M38"/>
    <mergeCell ref="C39:F39"/>
    <mergeCell ref="J39:M39"/>
    <mergeCell ref="P39:S39"/>
    <mergeCell ref="V39:Y39"/>
    <mergeCell ref="C17:F17"/>
    <mergeCell ref="J18:M18"/>
    <mergeCell ref="P17:S17"/>
    <mergeCell ref="J16:M16"/>
    <mergeCell ref="V17:Y17"/>
    <mergeCell ref="V18:Y18"/>
    <mergeCell ref="V19:Y19"/>
    <mergeCell ref="P38:S38"/>
    <mergeCell ref="P23:S23"/>
    <mergeCell ref="P30:S30"/>
    <mergeCell ref="P31:S31"/>
    <mergeCell ref="J30:M30"/>
    <mergeCell ref="J31:M31"/>
    <mergeCell ref="P36:S36"/>
    <mergeCell ref="P37:S37"/>
    <mergeCell ref="J36:M36"/>
    <mergeCell ref="J26:M26"/>
    <mergeCell ref="J27:M27"/>
    <mergeCell ref="J35:M35"/>
    <mergeCell ref="P35:S35"/>
  </mergeCells>
  <conditionalFormatting sqref="C10 E10">
    <cfRule type="expression" priority="1">
      <formula>IF(#REF!=0,"",#REF!)</formula>
    </cfRule>
  </conditionalFormatting>
  <dataValidations count="3">
    <dataValidation allowBlank="1" showDropDown="1" showInputMessage="1" showErrorMessage="1" sqref="P7 C7 J7 V7"/>
    <dataValidation type="list" allowBlank="1" showInputMessage="1" showErrorMessage="1" sqref="E6 L6 R6 X6">
      <formula1>"осенний, весенний"</formula1>
    </dataValidation>
    <dataValidation type="list" allowBlank="1" showInputMessage="1" showErrorMessage="1" sqref="J6 P6 V6 C6">
      <formula1>"2025-2026"</formula1>
    </dataValidation>
  </dataValidations>
  <pageMargins left="0.70866141732283472" right="0.70866141732283472" top="0.74803149606299213" bottom="0.74803149606299213" header="0.31496062992125984" footer="0.31496062992125984"/>
  <pageSetup paperSize="9" scale="9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61DF32E5-4D2A-4F82-A77B-D9E3921D6F60}">
            <xm:f>IF('1 курс'!$C$9=0,"",'1 курс'!$C$9)</xm:f>
            <x14:dxf/>
          </x14:cfRule>
          <xm:sqref>J10</xm:sqref>
        </x14:conditionalFormatting>
        <x14:conditionalFormatting xmlns:xm="http://schemas.microsoft.com/office/excel/2006/main">
          <x14:cfRule type="expression" priority="8" id="{A9F24813-E490-4EB1-B07F-14369E97DC6C}">
            <xm:f>IF('1 курс'!$C$9=0,"",'1 курс'!$C$9)</xm:f>
            <x14:dxf/>
          </x14:cfRule>
          <xm:sqref>P10</xm:sqref>
        </x14:conditionalFormatting>
        <x14:conditionalFormatting xmlns:xm="http://schemas.microsoft.com/office/excel/2006/main">
          <x14:cfRule type="expression" priority="6" id="{98003E87-BEA8-4DC4-99A3-0797B789D6C0}">
            <xm:f>IF('1 курс'!$C$9=0,"",'1 курс'!$C$9)</xm:f>
            <x14:dxf/>
          </x14:cfRule>
          <xm:sqref>V10</xm:sqref>
        </x14:conditionalFormatting>
        <x14:conditionalFormatting xmlns:xm="http://schemas.microsoft.com/office/excel/2006/main">
          <x14:cfRule type="expression" priority="5" id="{66344798-F491-43A7-89F3-AB601219B7EA}">
            <xm:f>IF('1 курс'!$C$9=0,"",'1 курс'!$C$9)</xm:f>
            <x14:dxf/>
          </x14:cfRule>
          <xm:sqref>C9</xm:sqref>
        </x14:conditionalFormatting>
        <x14:conditionalFormatting xmlns:xm="http://schemas.microsoft.com/office/excel/2006/main">
          <x14:cfRule type="expression" priority="4" id="{A71B6FF8-C51C-45DE-88B0-B9E43721D7EF}">
            <xm:f>IF('1 курс'!$C$9=0,"",'1 курс'!$C$9)</xm:f>
            <x14:dxf/>
          </x14:cfRule>
          <xm:sqref>J9</xm:sqref>
        </x14:conditionalFormatting>
        <x14:conditionalFormatting xmlns:xm="http://schemas.microsoft.com/office/excel/2006/main">
          <x14:cfRule type="expression" priority="3" id="{DC4DC97D-BC82-4F1B-BDA1-D244D431B6C4}">
            <xm:f>IF('1 курс'!$C$9=0,"",'1 курс'!$C$9)</xm:f>
            <x14:dxf/>
          </x14:cfRule>
          <xm:sqref>P9</xm:sqref>
        </x14:conditionalFormatting>
        <x14:conditionalFormatting xmlns:xm="http://schemas.microsoft.com/office/excel/2006/main">
          <x14:cfRule type="expression" priority="2" id="{27DD7B6D-78D3-4BC8-AF62-BB19EC46F94C}">
            <xm:f>IF('1 курс'!$C$9=0,"",'1 курс'!$C$9)</xm:f>
            <x14:dxf/>
          </x14:cfRule>
          <xm:sqref>V9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opLeftCell="L7" zoomScaleNormal="100" workbookViewId="0">
      <selection activeCell="Y7" sqref="Y1:Y1048576"/>
    </sheetView>
  </sheetViews>
  <sheetFormatPr defaultColWidth="9.140625" defaultRowHeight="18.75" x14ac:dyDescent="0.4"/>
  <cols>
    <col min="1" max="1" width="6.85546875" style="2" customWidth="1"/>
    <col min="2" max="2" width="9.7109375" style="2" customWidth="1"/>
    <col min="3" max="3" width="20" style="2" customWidth="1"/>
    <col min="4" max="4" width="19.28515625" style="2" customWidth="1"/>
    <col min="5" max="5" width="20.5703125" style="2" customWidth="1"/>
    <col min="6" max="6" width="20" style="2" customWidth="1"/>
    <col min="7" max="7" width="6.85546875" style="2" customWidth="1"/>
    <col min="8" max="8" width="9.42578125" style="2" customWidth="1"/>
    <col min="9" max="11" width="20" style="2" customWidth="1"/>
    <col min="12" max="12" width="19.85546875" style="2" customWidth="1"/>
    <col min="13" max="13" width="6.85546875" style="2" customWidth="1"/>
    <col min="14" max="14" width="10.7109375" style="2" customWidth="1"/>
    <col min="15" max="16" width="20" style="2" customWidth="1"/>
    <col min="17" max="17" width="19.7109375" style="2" customWidth="1"/>
    <col min="18" max="18" width="20.7109375" style="2" customWidth="1"/>
    <col min="19" max="19" width="6.85546875" style="2" customWidth="1"/>
    <col min="20" max="20" width="10.7109375" style="2" customWidth="1"/>
    <col min="21" max="21" width="20" style="2" customWidth="1"/>
    <col min="22" max="22" width="19.5703125" style="2" customWidth="1"/>
    <col min="23" max="23" width="20" style="2" customWidth="1"/>
    <col min="24" max="24" width="20.28515625" style="2" customWidth="1"/>
    <col min="25" max="16384" width="9.140625" style="2"/>
  </cols>
  <sheetData>
    <row r="1" spans="1:24" x14ac:dyDescent="0.4">
      <c r="A1" s="1" t="s">
        <v>7</v>
      </c>
      <c r="F1" s="3" t="s">
        <v>8</v>
      </c>
      <c r="G1" s="1" t="s">
        <v>7</v>
      </c>
      <c r="L1" s="3" t="s">
        <v>8</v>
      </c>
      <c r="M1" s="1" t="s">
        <v>7</v>
      </c>
      <c r="R1" s="3" t="s">
        <v>8</v>
      </c>
      <c r="S1" s="1" t="s">
        <v>7</v>
      </c>
      <c r="X1" s="3" t="s">
        <v>8</v>
      </c>
    </row>
    <row r="2" spans="1:24" x14ac:dyDescent="0.4">
      <c r="A2" s="1" t="s">
        <v>92</v>
      </c>
      <c r="F2" s="3" t="s">
        <v>9</v>
      </c>
      <c r="G2" s="1" t="s">
        <v>92</v>
      </c>
      <c r="L2" s="3" t="s">
        <v>9</v>
      </c>
      <c r="M2" s="1" t="s">
        <v>92</v>
      </c>
      <c r="R2" s="3" t="s">
        <v>9</v>
      </c>
      <c r="S2" s="1" t="s">
        <v>92</v>
      </c>
      <c r="X2" s="3" t="s">
        <v>9</v>
      </c>
    </row>
    <row r="3" spans="1:24" x14ac:dyDescent="0.4">
      <c r="A3" s="1" t="s">
        <v>10</v>
      </c>
      <c r="F3" s="3" t="s">
        <v>11</v>
      </c>
      <c r="G3" s="1" t="s">
        <v>10</v>
      </c>
      <c r="L3" s="3" t="s">
        <v>11</v>
      </c>
      <c r="M3" s="1" t="s">
        <v>10</v>
      </c>
      <c r="R3" s="3" t="s">
        <v>11</v>
      </c>
      <c r="S3" s="1" t="s">
        <v>10</v>
      </c>
      <c r="X3" s="3" t="s">
        <v>11</v>
      </c>
    </row>
    <row r="4" spans="1:24" x14ac:dyDescent="0.4">
      <c r="A4" s="1"/>
      <c r="F4" s="3" t="s">
        <v>98</v>
      </c>
      <c r="G4" s="1"/>
      <c r="L4" s="3" t="s">
        <v>98</v>
      </c>
      <c r="M4" s="1"/>
      <c r="R4" s="3" t="s">
        <v>98</v>
      </c>
      <c r="S4" s="1"/>
      <c r="X4" s="3" t="s">
        <v>98</v>
      </c>
    </row>
    <row r="5" spans="1:24" x14ac:dyDescent="0.4">
      <c r="A5" s="4" t="s">
        <v>12</v>
      </c>
      <c r="B5" s="5"/>
      <c r="C5" s="5"/>
      <c r="D5" s="6"/>
      <c r="E5" s="5"/>
      <c r="F5" s="7"/>
      <c r="G5" s="4" t="s">
        <v>12</v>
      </c>
      <c r="H5" s="5"/>
      <c r="I5" s="5"/>
      <c r="J5" s="6"/>
      <c r="K5" s="5"/>
      <c r="L5" s="7"/>
      <c r="M5" s="4" t="s">
        <v>12</v>
      </c>
      <c r="N5" s="5"/>
      <c r="O5" s="5"/>
      <c r="P5" s="6"/>
      <c r="Q5" s="5"/>
      <c r="R5" s="7"/>
      <c r="S5" s="4" t="s">
        <v>12</v>
      </c>
      <c r="T5" s="5"/>
      <c r="U5" s="5"/>
      <c r="V5" s="6"/>
      <c r="W5" s="5"/>
      <c r="X5" s="7"/>
    </row>
    <row r="6" spans="1:24" x14ac:dyDescent="0.4">
      <c r="A6" s="8" t="s">
        <v>1</v>
      </c>
      <c r="C6" s="9" t="s">
        <v>94</v>
      </c>
      <c r="D6" s="9"/>
      <c r="E6" s="10" t="s">
        <v>31</v>
      </c>
      <c r="F6" s="11" t="s">
        <v>2</v>
      </c>
      <c r="G6" s="8" t="s">
        <v>1</v>
      </c>
      <c r="I6" s="9" t="s">
        <v>94</v>
      </c>
      <c r="J6" s="9"/>
      <c r="K6" s="10" t="s">
        <v>31</v>
      </c>
      <c r="L6" s="11" t="s">
        <v>2</v>
      </c>
      <c r="M6" s="8" t="s">
        <v>1</v>
      </c>
      <c r="O6" s="9" t="s">
        <v>94</v>
      </c>
      <c r="P6" s="9"/>
      <c r="Q6" s="10" t="s">
        <v>31</v>
      </c>
      <c r="R6" s="11" t="s">
        <v>2</v>
      </c>
      <c r="S6" s="8" t="s">
        <v>1</v>
      </c>
      <c r="U6" s="9" t="s">
        <v>94</v>
      </c>
      <c r="V6" s="9"/>
      <c r="W6" s="10" t="s">
        <v>31</v>
      </c>
      <c r="X6" s="11" t="s">
        <v>2</v>
      </c>
    </row>
    <row r="7" spans="1:24" x14ac:dyDescent="0.4">
      <c r="A7" s="12" t="s">
        <v>3</v>
      </c>
      <c r="C7" s="13" t="s">
        <v>4</v>
      </c>
      <c r="D7" s="13"/>
      <c r="E7" s="9">
        <v>3</v>
      </c>
      <c r="F7" s="11" t="s">
        <v>5</v>
      </c>
      <c r="G7" s="12" t="s">
        <v>3</v>
      </c>
      <c r="I7" s="13" t="str">
        <f>'2 курс'!J7</f>
        <v>государства и права</v>
      </c>
      <c r="J7" s="13"/>
      <c r="K7" s="9">
        <f>$E$7</f>
        <v>3</v>
      </c>
      <c r="L7" s="11" t="s">
        <v>5</v>
      </c>
      <c r="M7" s="12" t="s">
        <v>3</v>
      </c>
      <c r="O7" s="13" t="str">
        <f>I7</f>
        <v>государства и права</v>
      </c>
      <c r="P7" s="13"/>
      <c r="Q7" s="9">
        <f>$K$7</f>
        <v>3</v>
      </c>
      <c r="R7" s="11" t="s">
        <v>5</v>
      </c>
      <c r="S7" s="12" t="s">
        <v>3</v>
      </c>
      <c r="U7" s="13" t="str">
        <f t="shared" ref="U7:U8" si="0">O7</f>
        <v>государства и права</v>
      </c>
      <c r="V7" s="13"/>
      <c r="W7" s="9">
        <f>$K$7</f>
        <v>3</v>
      </c>
      <c r="X7" s="11" t="s">
        <v>5</v>
      </c>
    </row>
    <row r="8" spans="1:24" x14ac:dyDescent="0.4">
      <c r="A8" s="12" t="s">
        <v>15</v>
      </c>
      <c r="C8" s="14" t="str">
        <f>'1 курс'!$C$8</f>
        <v>40.03.01 Юриспруденция</v>
      </c>
      <c r="D8" s="14"/>
      <c r="E8" s="15" t="s">
        <v>51</v>
      </c>
      <c r="F8" s="16" t="s">
        <v>6</v>
      </c>
      <c r="G8" s="12" t="s">
        <v>15</v>
      </c>
      <c r="I8" s="14" t="str">
        <f>'2 курс'!J8</f>
        <v>40.03.01 Юриспруденция</v>
      </c>
      <c r="J8" s="14"/>
      <c r="K8" s="15" t="s">
        <v>52</v>
      </c>
      <c r="L8" s="16" t="s">
        <v>6</v>
      </c>
      <c r="M8" s="12" t="s">
        <v>15</v>
      </c>
      <c r="O8" s="14" t="str">
        <f>I8</f>
        <v>40.03.01 Юриспруденция</v>
      </c>
      <c r="P8" s="14"/>
      <c r="Q8" s="15" t="s">
        <v>53</v>
      </c>
      <c r="R8" s="16" t="s">
        <v>6</v>
      </c>
      <c r="S8" s="12" t="s">
        <v>15</v>
      </c>
      <c r="U8" s="14" t="str">
        <f t="shared" si="0"/>
        <v>40.03.01 Юриспруденция</v>
      </c>
      <c r="V8" s="14"/>
      <c r="W8" s="15" t="s">
        <v>69</v>
      </c>
      <c r="X8" s="16" t="s">
        <v>6</v>
      </c>
    </row>
    <row r="9" spans="1:24" ht="16.5" customHeight="1" x14ac:dyDescent="0.4">
      <c r="A9" s="70" t="s">
        <v>24</v>
      </c>
      <c r="C9" s="317" t="s">
        <v>66</v>
      </c>
      <c r="D9" s="317"/>
      <c r="E9" s="317"/>
      <c r="F9" s="317"/>
      <c r="G9" s="70" t="s">
        <v>24</v>
      </c>
      <c r="I9" s="317" t="s">
        <v>67</v>
      </c>
      <c r="J9" s="317"/>
      <c r="K9" s="317"/>
      <c r="L9" s="317"/>
      <c r="M9" s="70" t="s">
        <v>24</v>
      </c>
      <c r="O9" s="317" t="s">
        <v>68</v>
      </c>
      <c r="P9" s="317"/>
      <c r="Q9" s="317"/>
      <c r="R9" s="317"/>
      <c r="S9" s="70" t="s">
        <v>24</v>
      </c>
      <c r="U9" s="317" t="s">
        <v>68</v>
      </c>
      <c r="V9" s="317"/>
      <c r="W9" s="317"/>
      <c r="X9" s="317"/>
    </row>
    <row r="10" spans="1:24" ht="16.5" customHeight="1" thickBot="1" x14ac:dyDescent="0.45">
      <c r="A10" s="70" t="s">
        <v>33</v>
      </c>
      <c r="C10" s="292" t="s">
        <v>104</v>
      </c>
      <c r="D10" s="292"/>
      <c r="E10" s="292"/>
      <c r="F10" s="292"/>
      <c r="G10" s="70" t="s">
        <v>33</v>
      </c>
      <c r="I10" s="292" t="s">
        <v>104</v>
      </c>
      <c r="J10" s="292"/>
      <c r="K10" s="292"/>
      <c r="L10" s="292"/>
      <c r="M10" s="70" t="s">
        <v>33</v>
      </c>
      <c r="O10" s="292" t="s">
        <v>104</v>
      </c>
      <c r="P10" s="292"/>
      <c r="Q10" s="292"/>
      <c r="R10" s="292"/>
      <c r="S10" s="70" t="s">
        <v>33</v>
      </c>
      <c r="U10" s="292" t="s">
        <v>104</v>
      </c>
      <c r="V10" s="292"/>
      <c r="W10" s="292"/>
      <c r="X10" s="292"/>
    </row>
    <row r="11" spans="1:24" ht="19.5" thickBot="1" x14ac:dyDescent="0.45">
      <c r="A11" s="18" t="s">
        <v>17</v>
      </c>
      <c r="B11" s="19" t="s">
        <v>0</v>
      </c>
      <c r="C11" s="20" t="s">
        <v>25</v>
      </c>
      <c r="D11" s="24"/>
      <c r="E11" s="21"/>
      <c r="F11" s="22"/>
      <c r="G11" s="18" t="s">
        <v>17</v>
      </c>
      <c r="H11" s="19" t="s">
        <v>0</v>
      </c>
      <c r="I11" s="88" t="s">
        <v>25</v>
      </c>
      <c r="J11" s="89"/>
      <c r="K11" s="90"/>
      <c r="L11" s="91"/>
      <c r="M11" s="18" t="s">
        <v>17</v>
      </c>
      <c r="N11" s="19" t="s">
        <v>0</v>
      </c>
      <c r="O11" s="20" t="s">
        <v>25</v>
      </c>
      <c r="P11" s="24"/>
      <c r="Q11" s="21"/>
      <c r="R11" s="22"/>
      <c r="S11" s="18" t="s">
        <v>17</v>
      </c>
      <c r="T11" s="19" t="s">
        <v>0</v>
      </c>
      <c r="U11" s="20" t="s">
        <v>25</v>
      </c>
      <c r="V11" s="24"/>
      <c r="W11" s="21"/>
      <c r="X11" s="22"/>
    </row>
    <row r="12" spans="1:24" ht="18" customHeight="1" x14ac:dyDescent="0.4">
      <c r="A12" s="25" t="s">
        <v>18</v>
      </c>
      <c r="B12" s="26">
        <v>2</v>
      </c>
      <c r="C12" s="178"/>
      <c r="D12" s="179"/>
      <c r="E12" s="179"/>
      <c r="F12" s="180"/>
      <c r="G12" s="25" t="s">
        <v>18</v>
      </c>
      <c r="H12" s="26">
        <v>2</v>
      </c>
      <c r="I12" s="281" t="s">
        <v>157</v>
      </c>
      <c r="J12" s="282"/>
      <c r="K12" s="282"/>
      <c r="L12" s="283"/>
      <c r="M12" s="85" t="s">
        <v>18</v>
      </c>
      <c r="N12" s="26">
        <v>2</v>
      </c>
      <c r="O12" s="178"/>
      <c r="P12" s="179"/>
      <c r="Q12" s="179"/>
      <c r="R12" s="180"/>
      <c r="S12" s="85" t="s">
        <v>18</v>
      </c>
      <c r="T12" s="26">
        <v>2</v>
      </c>
      <c r="U12" s="181"/>
      <c r="V12" s="182"/>
      <c r="W12" s="182"/>
      <c r="X12" s="183"/>
    </row>
    <row r="13" spans="1:24" ht="19.5" customHeight="1" x14ac:dyDescent="0.4">
      <c r="A13" s="28"/>
      <c r="B13" s="29">
        <v>3</v>
      </c>
      <c r="C13" s="243" t="s">
        <v>155</v>
      </c>
      <c r="D13" s="244"/>
      <c r="E13" s="244"/>
      <c r="F13" s="245"/>
      <c r="G13" s="28"/>
      <c r="H13" s="29">
        <v>3</v>
      </c>
      <c r="I13" s="181" t="s">
        <v>158</v>
      </c>
      <c r="J13" s="182"/>
      <c r="K13" s="182"/>
      <c r="L13" s="183"/>
      <c r="M13" s="86"/>
      <c r="N13" s="29">
        <v>3</v>
      </c>
      <c r="O13" s="181" t="s">
        <v>177</v>
      </c>
      <c r="P13" s="182"/>
      <c r="Q13" s="182"/>
      <c r="R13" s="183"/>
      <c r="S13" s="86"/>
      <c r="T13" s="29">
        <v>3</v>
      </c>
      <c r="U13" s="181" t="s">
        <v>180</v>
      </c>
      <c r="V13" s="182"/>
      <c r="W13" s="182"/>
      <c r="X13" s="183"/>
    </row>
    <row r="14" spans="1:24" ht="18.75" customHeight="1" x14ac:dyDescent="0.4">
      <c r="A14" s="28"/>
      <c r="B14" s="29">
        <v>4</v>
      </c>
      <c r="C14" s="243" t="s">
        <v>43</v>
      </c>
      <c r="D14" s="244"/>
      <c r="E14" s="244"/>
      <c r="F14" s="245"/>
      <c r="G14" s="28"/>
      <c r="H14" s="29">
        <v>4</v>
      </c>
      <c r="I14" s="344" t="s">
        <v>43</v>
      </c>
      <c r="J14" s="345"/>
      <c r="K14" s="345"/>
      <c r="L14" s="346"/>
      <c r="M14" s="86"/>
      <c r="N14" s="29">
        <v>4</v>
      </c>
      <c r="O14" s="243" t="s">
        <v>43</v>
      </c>
      <c r="P14" s="244"/>
      <c r="Q14" s="244"/>
      <c r="R14" s="245"/>
      <c r="S14" s="86"/>
      <c r="T14" s="29">
        <v>4</v>
      </c>
      <c r="U14" s="243" t="s">
        <v>43</v>
      </c>
      <c r="V14" s="244"/>
      <c r="W14" s="244"/>
      <c r="X14" s="245"/>
    </row>
    <row r="15" spans="1:24" ht="17.25" customHeight="1" thickBot="1" x14ac:dyDescent="0.45">
      <c r="A15" s="31"/>
      <c r="B15" s="32">
        <v>5</v>
      </c>
      <c r="C15" s="118" t="s">
        <v>57</v>
      </c>
      <c r="D15" s="119"/>
      <c r="E15" s="119"/>
      <c r="F15" s="120"/>
      <c r="G15" s="31"/>
      <c r="H15" s="32">
        <v>5</v>
      </c>
      <c r="I15" s="121" t="s">
        <v>57</v>
      </c>
      <c r="J15" s="122"/>
      <c r="K15" s="122"/>
      <c r="L15" s="123"/>
      <c r="M15" s="87"/>
      <c r="N15" s="32">
        <v>5</v>
      </c>
      <c r="O15" s="118" t="s">
        <v>57</v>
      </c>
      <c r="P15" s="119"/>
      <c r="Q15" s="119"/>
      <c r="R15" s="120"/>
      <c r="S15" s="87"/>
      <c r="T15" s="32">
        <v>5</v>
      </c>
      <c r="U15" s="118" t="s">
        <v>57</v>
      </c>
      <c r="V15" s="119"/>
      <c r="W15" s="119"/>
      <c r="X15" s="120"/>
    </row>
    <row r="16" spans="1:24" ht="16.5" customHeight="1" x14ac:dyDescent="0.4">
      <c r="A16" s="34" t="s">
        <v>19</v>
      </c>
      <c r="B16" s="35">
        <v>3</v>
      </c>
      <c r="C16" s="302" t="s">
        <v>220</v>
      </c>
      <c r="D16" s="279"/>
      <c r="E16" s="279"/>
      <c r="F16" s="280"/>
      <c r="G16" s="34" t="s">
        <v>19</v>
      </c>
      <c r="H16" s="35">
        <v>3</v>
      </c>
      <c r="I16" s="347"/>
      <c r="J16" s="348"/>
      <c r="K16" s="348"/>
      <c r="L16" s="349"/>
      <c r="M16" s="34" t="s">
        <v>19</v>
      </c>
      <c r="N16" s="35">
        <v>4</v>
      </c>
      <c r="O16" s="302" t="s">
        <v>184</v>
      </c>
      <c r="P16" s="279"/>
      <c r="Q16" s="279"/>
      <c r="R16" s="280"/>
      <c r="S16" s="34" t="s">
        <v>19</v>
      </c>
      <c r="T16" s="35">
        <v>2</v>
      </c>
      <c r="U16" s="140"/>
      <c r="V16" s="141"/>
      <c r="W16" s="141"/>
      <c r="X16" s="142"/>
    </row>
    <row r="17" spans="1:24" ht="32.25" customHeight="1" x14ac:dyDescent="0.4">
      <c r="A17" s="28"/>
      <c r="B17" s="29">
        <v>4</v>
      </c>
      <c r="C17" s="350" t="s">
        <v>47</v>
      </c>
      <c r="D17" s="351"/>
      <c r="E17" s="351"/>
      <c r="F17" s="352"/>
      <c r="G17" s="28"/>
      <c r="H17" s="29">
        <v>4</v>
      </c>
      <c r="I17" s="181" t="s">
        <v>88</v>
      </c>
      <c r="J17" s="182"/>
      <c r="K17" s="182"/>
      <c r="L17" s="183"/>
      <c r="M17" s="28"/>
      <c r="N17" s="29">
        <v>5</v>
      </c>
      <c r="O17" s="237" t="s">
        <v>44</v>
      </c>
      <c r="P17" s="238"/>
      <c r="Q17" s="238" t="s">
        <v>159</v>
      </c>
      <c r="R17" s="239"/>
      <c r="S17" s="28"/>
      <c r="T17" s="29">
        <v>3</v>
      </c>
      <c r="U17" s="237"/>
      <c r="V17" s="238"/>
      <c r="W17" s="238" t="s">
        <v>45</v>
      </c>
      <c r="X17" s="239"/>
    </row>
    <row r="18" spans="1:24" ht="33" customHeight="1" x14ac:dyDescent="0.4">
      <c r="A18" s="28"/>
      <c r="B18" s="29">
        <v>5</v>
      </c>
      <c r="C18" s="181" t="s">
        <v>167</v>
      </c>
      <c r="D18" s="182"/>
      <c r="E18" s="182"/>
      <c r="F18" s="183"/>
      <c r="G18" s="28"/>
      <c r="H18" s="29">
        <v>5</v>
      </c>
      <c r="I18" s="328" t="s">
        <v>47</v>
      </c>
      <c r="J18" s="162"/>
      <c r="K18" s="162"/>
      <c r="L18" s="163"/>
      <c r="M18" s="28"/>
      <c r="N18" s="29">
        <v>6</v>
      </c>
      <c r="O18" s="134" t="s">
        <v>160</v>
      </c>
      <c r="P18" s="135"/>
      <c r="Q18" s="159" t="s">
        <v>45</v>
      </c>
      <c r="R18" s="160"/>
      <c r="S18" s="28"/>
      <c r="T18" s="29">
        <v>4</v>
      </c>
      <c r="U18" s="134" t="s">
        <v>44</v>
      </c>
      <c r="V18" s="135"/>
      <c r="W18" s="135" t="s">
        <v>161</v>
      </c>
      <c r="X18" s="136"/>
    </row>
    <row r="19" spans="1:24" ht="19.5" customHeight="1" thickBot="1" x14ac:dyDescent="0.45">
      <c r="A19" s="36"/>
      <c r="B19" s="32">
        <v>6</v>
      </c>
      <c r="C19" s="362"/>
      <c r="D19" s="363"/>
      <c r="E19" s="363"/>
      <c r="F19" s="364"/>
      <c r="G19" s="56"/>
      <c r="H19" s="57">
        <v>6</v>
      </c>
      <c r="I19" s="332"/>
      <c r="J19" s="333"/>
      <c r="K19" s="333"/>
      <c r="L19" s="334"/>
      <c r="M19" s="36"/>
      <c r="N19" s="32"/>
      <c r="O19" s="365"/>
      <c r="P19" s="366"/>
      <c r="Q19" s="366"/>
      <c r="R19" s="367"/>
      <c r="S19" s="36"/>
      <c r="T19" s="32">
        <v>5</v>
      </c>
      <c r="U19" s="341" t="s">
        <v>184</v>
      </c>
      <c r="V19" s="342"/>
      <c r="W19" s="342"/>
      <c r="X19" s="343"/>
    </row>
    <row r="20" spans="1:24" ht="18" customHeight="1" x14ac:dyDescent="0.4">
      <c r="A20" s="34" t="s">
        <v>20</v>
      </c>
      <c r="B20" s="35">
        <v>1</v>
      </c>
      <c r="C20" s="154"/>
      <c r="D20" s="155"/>
      <c r="E20" s="155"/>
      <c r="F20" s="156"/>
      <c r="G20" s="34" t="s">
        <v>20</v>
      </c>
      <c r="H20" s="35">
        <v>1</v>
      </c>
      <c r="I20" s="329"/>
      <c r="J20" s="330"/>
      <c r="K20" s="330"/>
      <c r="L20" s="331"/>
      <c r="M20" s="34" t="s">
        <v>20</v>
      </c>
      <c r="N20" s="35">
        <v>2</v>
      </c>
      <c r="O20" s="327" t="s">
        <v>153</v>
      </c>
      <c r="P20" s="159"/>
      <c r="Q20" s="159"/>
      <c r="R20" s="160"/>
      <c r="S20" s="34" t="s">
        <v>20</v>
      </c>
      <c r="T20" s="35">
        <v>1</v>
      </c>
      <c r="U20" s="327" t="s">
        <v>47</v>
      </c>
      <c r="V20" s="159"/>
      <c r="W20" s="159"/>
      <c r="X20" s="160"/>
    </row>
    <row r="21" spans="1:24" ht="19.5" customHeight="1" x14ac:dyDescent="0.4">
      <c r="A21" s="28"/>
      <c r="B21" s="29">
        <v>2</v>
      </c>
      <c r="C21" s="134" t="s">
        <v>153</v>
      </c>
      <c r="D21" s="135"/>
      <c r="E21" s="135"/>
      <c r="F21" s="136"/>
      <c r="G21" s="28"/>
      <c r="H21" s="29">
        <v>2</v>
      </c>
      <c r="I21" s="134" t="s">
        <v>153</v>
      </c>
      <c r="J21" s="135"/>
      <c r="K21" s="135"/>
      <c r="L21" s="136"/>
      <c r="M21" s="28"/>
      <c r="N21" s="29">
        <v>3</v>
      </c>
      <c r="O21" s="338" t="s">
        <v>87</v>
      </c>
      <c r="P21" s="339"/>
      <c r="Q21" s="339"/>
      <c r="R21" s="340"/>
      <c r="S21" s="28"/>
      <c r="T21" s="29">
        <v>2</v>
      </c>
      <c r="U21" s="338" t="s">
        <v>153</v>
      </c>
      <c r="V21" s="339"/>
      <c r="W21" s="339"/>
      <c r="X21" s="340"/>
    </row>
    <row r="22" spans="1:24" ht="16.899999999999999" customHeight="1" x14ac:dyDescent="0.4">
      <c r="A22" s="28"/>
      <c r="B22" s="29">
        <v>3</v>
      </c>
      <c r="C22" s="338" t="s">
        <v>61</v>
      </c>
      <c r="D22" s="339"/>
      <c r="E22" s="339"/>
      <c r="F22" s="340"/>
      <c r="G22" s="28"/>
      <c r="H22" s="29">
        <v>3</v>
      </c>
      <c r="I22" s="338" t="s">
        <v>168</v>
      </c>
      <c r="J22" s="339"/>
      <c r="K22" s="339"/>
      <c r="L22" s="340"/>
      <c r="M22" s="28"/>
      <c r="N22" s="29">
        <v>4</v>
      </c>
      <c r="O22" s="327" t="s">
        <v>169</v>
      </c>
      <c r="P22" s="159"/>
      <c r="Q22" s="159"/>
      <c r="R22" s="160"/>
      <c r="S22" s="28"/>
      <c r="T22" s="29">
        <v>3</v>
      </c>
      <c r="U22" s="338" t="s">
        <v>166</v>
      </c>
      <c r="V22" s="339"/>
      <c r="W22" s="339"/>
      <c r="X22" s="340"/>
    </row>
    <row r="23" spans="1:24" ht="18" customHeight="1" thickBot="1" x14ac:dyDescent="0.45">
      <c r="A23" s="36"/>
      <c r="B23" s="32">
        <v>4</v>
      </c>
      <c r="C23" s="341" t="s">
        <v>166</v>
      </c>
      <c r="D23" s="342"/>
      <c r="E23" s="342"/>
      <c r="F23" s="343"/>
      <c r="G23" s="36"/>
      <c r="H23" s="32">
        <v>4</v>
      </c>
      <c r="I23" s="383" t="s">
        <v>61</v>
      </c>
      <c r="J23" s="384"/>
      <c r="K23" s="384"/>
      <c r="L23" s="385"/>
      <c r="M23" s="36"/>
      <c r="N23" s="32">
        <v>5</v>
      </c>
      <c r="O23" s="341" t="s">
        <v>218</v>
      </c>
      <c r="P23" s="342"/>
      <c r="Q23" s="342"/>
      <c r="R23" s="343"/>
      <c r="S23" s="36"/>
      <c r="T23" s="32">
        <v>4</v>
      </c>
      <c r="U23" s="341" t="s">
        <v>87</v>
      </c>
      <c r="V23" s="342"/>
      <c r="W23" s="342"/>
      <c r="X23" s="343"/>
    </row>
    <row r="24" spans="1:24" ht="15.75" customHeight="1" x14ac:dyDescent="0.4">
      <c r="A24" s="34" t="s">
        <v>21</v>
      </c>
      <c r="B24" s="35">
        <v>2</v>
      </c>
      <c r="C24" s="181" t="s">
        <v>170</v>
      </c>
      <c r="D24" s="182"/>
      <c r="E24" s="182"/>
      <c r="F24" s="183"/>
      <c r="G24" s="34" t="s">
        <v>21</v>
      </c>
      <c r="H24" s="35">
        <v>3</v>
      </c>
      <c r="I24" s="181" t="s">
        <v>173</v>
      </c>
      <c r="J24" s="182"/>
      <c r="K24" s="182"/>
      <c r="L24" s="183"/>
      <c r="M24" s="34" t="s">
        <v>21</v>
      </c>
      <c r="N24" s="35">
        <v>3</v>
      </c>
      <c r="O24" s="178"/>
      <c r="P24" s="179"/>
      <c r="Q24" s="179"/>
      <c r="R24" s="180"/>
      <c r="S24" s="34" t="s">
        <v>21</v>
      </c>
      <c r="T24" s="35">
        <v>3</v>
      </c>
      <c r="U24" s="178"/>
      <c r="V24" s="179"/>
      <c r="W24" s="179"/>
      <c r="X24" s="180"/>
    </row>
    <row r="25" spans="1:24" ht="18" customHeight="1" x14ac:dyDescent="0.4">
      <c r="A25" s="28"/>
      <c r="B25" s="29">
        <v>3</v>
      </c>
      <c r="C25" s="338" t="s">
        <v>172</v>
      </c>
      <c r="D25" s="339"/>
      <c r="E25" s="339"/>
      <c r="F25" s="340"/>
      <c r="G25" s="28"/>
      <c r="H25" s="29">
        <v>4</v>
      </c>
      <c r="I25" s="338" t="s">
        <v>171</v>
      </c>
      <c r="J25" s="339"/>
      <c r="K25" s="339"/>
      <c r="L25" s="340"/>
      <c r="M25" s="28"/>
      <c r="N25" s="29">
        <v>4</v>
      </c>
      <c r="O25" s="149" t="s">
        <v>166</v>
      </c>
      <c r="P25" s="150"/>
      <c r="Q25" s="150"/>
      <c r="R25" s="151"/>
      <c r="S25" s="28"/>
      <c r="T25" s="29">
        <v>4</v>
      </c>
      <c r="U25" s="149" t="s">
        <v>174</v>
      </c>
      <c r="V25" s="150"/>
      <c r="W25" s="150"/>
      <c r="X25" s="151"/>
    </row>
    <row r="26" spans="1:24" ht="17.25" customHeight="1" x14ac:dyDescent="0.4">
      <c r="A26" s="28"/>
      <c r="B26" s="29">
        <v>4</v>
      </c>
      <c r="C26" s="338" t="s">
        <v>60</v>
      </c>
      <c r="D26" s="339"/>
      <c r="E26" s="339"/>
      <c r="F26" s="340"/>
      <c r="G26" s="28"/>
      <c r="H26" s="29">
        <v>5</v>
      </c>
      <c r="I26" s="134" t="s">
        <v>225</v>
      </c>
      <c r="J26" s="135"/>
      <c r="K26" s="135"/>
      <c r="L26" s="136"/>
      <c r="M26" s="28"/>
      <c r="N26" s="29">
        <v>5</v>
      </c>
      <c r="O26" s="338" t="s">
        <v>60</v>
      </c>
      <c r="P26" s="339"/>
      <c r="Q26" s="339"/>
      <c r="R26" s="340"/>
      <c r="S26" s="28"/>
      <c r="T26" s="29">
        <v>5</v>
      </c>
      <c r="U26" s="338" t="s">
        <v>48</v>
      </c>
      <c r="V26" s="339"/>
      <c r="W26" s="339"/>
      <c r="X26" s="340"/>
    </row>
    <row r="27" spans="1:24" ht="19.5" customHeight="1" thickBot="1" x14ac:dyDescent="0.45">
      <c r="A27" s="36"/>
      <c r="B27" s="32">
        <v>5</v>
      </c>
      <c r="C27" s="371"/>
      <c r="D27" s="372"/>
      <c r="E27" s="372"/>
      <c r="F27" s="373"/>
      <c r="G27" s="56"/>
      <c r="H27" s="57">
        <v>6</v>
      </c>
      <c r="I27" s="386"/>
      <c r="J27" s="387"/>
      <c r="K27" s="387"/>
      <c r="L27" s="388"/>
      <c r="M27" s="36"/>
      <c r="N27" s="78">
        <v>6</v>
      </c>
      <c r="O27" s="377" t="s">
        <v>48</v>
      </c>
      <c r="P27" s="378"/>
      <c r="Q27" s="378"/>
      <c r="R27" s="379"/>
      <c r="S27" s="36"/>
      <c r="T27" s="78">
        <v>6</v>
      </c>
      <c r="U27" s="377" t="s">
        <v>60</v>
      </c>
      <c r="V27" s="378"/>
      <c r="W27" s="378"/>
      <c r="X27" s="379"/>
    </row>
    <row r="28" spans="1:24" ht="20.25" customHeight="1" x14ac:dyDescent="0.4">
      <c r="A28" s="34" t="s">
        <v>22</v>
      </c>
      <c r="B28" s="35" t="s">
        <v>77</v>
      </c>
      <c r="C28" s="302" t="s">
        <v>84</v>
      </c>
      <c r="D28" s="279"/>
      <c r="E28" s="279"/>
      <c r="F28" s="280"/>
      <c r="G28" s="34" t="s">
        <v>22</v>
      </c>
      <c r="H28" s="35" t="s">
        <v>77</v>
      </c>
      <c r="I28" s="302" t="s">
        <v>84</v>
      </c>
      <c r="J28" s="279"/>
      <c r="K28" s="279"/>
      <c r="L28" s="280"/>
      <c r="M28" s="34" t="s">
        <v>22</v>
      </c>
      <c r="N28" s="35" t="s">
        <v>77</v>
      </c>
      <c r="O28" s="302" t="s">
        <v>84</v>
      </c>
      <c r="P28" s="279"/>
      <c r="Q28" s="279"/>
      <c r="R28" s="280"/>
      <c r="S28" s="34" t="s">
        <v>22</v>
      </c>
      <c r="T28" s="35" t="s">
        <v>77</v>
      </c>
      <c r="U28" s="302" t="s">
        <v>84</v>
      </c>
      <c r="V28" s="279"/>
      <c r="W28" s="279"/>
      <c r="X28" s="280"/>
    </row>
    <row r="29" spans="1:24" ht="21" customHeight="1" x14ac:dyDescent="0.4">
      <c r="A29" s="37"/>
      <c r="B29" s="29">
        <v>4</v>
      </c>
      <c r="C29" s="210" t="s">
        <v>224</v>
      </c>
      <c r="D29" s="211"/>
      <c r="E29" s="211"/>
      <c r="F29" s="212"/>
      <c r="G29" s="37"/>
      <c r="H29" s="29">
        <v>4</v>
      </c>
      <c r="I29" s="149" t="s">
        <v>229</v>
      </c>
      <c r="J29" s="150"/>
      <c r="K29" s="150"/>
      <c r="L29" s="151"/>
      <c r="M29" s="37"/>
      <c r="N29" s="29">
        <v>4</v>
      </c>
      <c r="O29" s="149" t="s">
        <v>178</v>
      </c>
      <c r="P29" s="150"/>
      <c r="Q29" s="150"/>
      <c r="R29" s="151"/>
      <c r="S29" s="37"/>
      <c r="T29" s="29">
        <v>4</v>
      </c>
      <c r="U29" s="149" t="s">
        <v>179</v>
      </c>
      <c r="V29" s="150"/>
      <c r="W29" s="150"/>
      <c r="X29" s="151"/>
    </row>
    <row r="30" spans="1:24" ht="34.5" customHeight="1" x14ac:dyDescent="0.4">
      <c r="A30" s="37"/>
      <c r="B30" s="29">
        <v>5</v>
      </c>
      <c r="C30" s="338" t="s">
        <v>175</v>
      </c>
      <c r="D30" s="339"/>
      <c r="E30" s="339"/>
      <c r="F30" s="340"/>
      <c r="G30" s="37"/>
      <c r="H30" s="29">
        <v>5</v>
      </c>
      <c r="I30" s="149" t="s">
        <v>176</v>
      </c>
      <c r="J30" s="150"/>
      <c r="K30" s="150"/>
      <c r="L30" s="151"/>
      <c r="M30" s="37"/>
      <c r="N30" s="29">
        <v>5</v>
      </c>
      <c r="O30" s="149" t="s">
        <v>183</v>
      </c>
      <c r="P30" s="150"/>
      <c r="Q30" s="150"/>
      <c r="R30" s="151"/>
      <c r="S30" s="37"/>
      <c r="T30" s="29">
        <v>5</v>
      </c>
      <c r="U30" s="149" t="s">
        <v>182</v>
      </c>
      <c r="V30" s="150"/>
      <c r="W30" s="150"/>
      <c r="X30" s="151"/>
    </row>
    <row r="31" spans="1:24" ht="21.75" customHeight="1" thickBot="1" x14ac:dyDescent="0.45">
      <c r="A31" s="38"/>
      <c r="B31" s="32">
        <v>6</v>
      </c>
      <c r="C31" s="353"/>
      <c r="D31" s="354"/>
      <c r="E31" s="354"/>
      <c r="F31" s="355"/>
      <c r="G31" s="36"/>
      <c r="H31" s="32">
        <v>6</v>
      </c>
      <c r="I31" s="371"/>
      <c r="J31" s="372"/>
      <c r="K31" s="372"/>
      <c r="L31" s="373"/>
      <c r="M31" s="38"/>
      <c r="N31" s="32">
        <v>6</v>
      </c>
      <c r="O31" s="374"/>
      <c r="P31" s="375"/>
      <c r="Q31" s="375"/>
      <c r="R31" s="376"/>
      <c r="S31" s="38"/>
      <c r="T31" s="32">
        <v>6</v>
      </c>
      <c r="U31" s="249" t="s">
        <v>181</v>
      </c>
      <c r="V31" s="250"/>
      <c r="W31" s="250"/>
      <c r="X31" s="251"/>
    </row>
    <row r="32" spans="1:24" ht="14.25" customHeight="1" x14ac:dyDescent="0.4">
      <c r="A32" s="59" t="s">
        <v>23</v>
      </c>
      <c r="B32" s="35">
        <v>1</v>
      </c>
      <c r="C32" s="368"/>
      <c r="D32" s="369"/>
      <c r="E32" s="369"/>
      <c r="F32" s="370"/>
      <c r="G32" s="59" t="s">
        <v>23</v>
      </c>
      <c r="H32" s="35">
        <v>1</v>
      </c>
      <c r="I32" s="335"/>
      <c r="J32" s="336"/>
      <c r="K32" s="336"/>
      <c r="L32" s="337"/>
      <c r="M32" s="59" t="s">
        <v>23</v>
      </c>
      <c r="N32" s="35">
        <v>1</v>
      </c>
      <c r="O32" s="335"/>
      <c r="P32" s="336"/>
      <c r="Q32" s="336"/>
      <c r="R32" s="337"/>
      <c r="S32" s="59" t="s">
        <v>23</v>
      </c>
      <c r="T32" s="35">
        <v>1</v>
      </c>
      <c r="U32" s="303"/>
      <c r="V32" s="304"/>
      <c r="W32" s="304"/>
      <c r="X32" s="305"/>
    </row>
    <row r="33" spans="1:24" ht="16.5" customHeight="1" x14ac:dyDescent="0.4">
      <c r="A33" s="40"/>
      <c r="B33" s="29">
        <v>2</v>
      </c>
      <c r="C33" s="219" t="s">
        <v>86</v>
      </c>
      <c r="D33" s="220"/>
      <c r="E33" s="220"/>
      <c r="F33" s="221"/>
      <c r="G33" s="40"/>
      <c r="H33" s="29">
        <v>2</v>
      </c>
      <c r="I33" s="128"/>
      <c r="J33" s="129"/>
      <c r="K33" s="129"/>
      <c r="L33" s="130"/>
      <c r="M33" s="40"/>
      <c r="N33" s="29">
        <v>2</v>
      </c>
      <c r="O33" s="128"/>
      <c r="P33" s="129"/>
      <c r="Q33" s="129"/>
      <c r="R33" s="130"/>
      <c r="S33" s="40"/>
      <c r="T33" s="29">
        <v>2</v>
      </c>
      <c r="U33" s="134"/>
      <c r="V33" s="135"/>
      <c r="W33" s="135"/>
      <c r="X33" s="136"/>
    </row>
    <row r="34" spans="1:24" ht="36.75" customHeight="1" x14ac:dyDescent="0.4">
      <c r="A34" s="40"/>
      <c r="B34" s="29">
        <v>3</v>
      </c>
      <c r="C34" s="134" t="s">
        <v>226</v>
      </c>
      <c r="D34" s="135"/>
      <c r="E34" s="135"/>
      <c r="F34" s="136"/>
      <c r="G34" s="40"/>
      <c r="H34" s="29">
        <v>3</v>
      </c>
      <c r="I34" s="327" t="s">
        <v>154</v>
      </c>
      <c r="J34" s="159"/>
      <c r="K34" s="159"/>
      <c r="L34" s="160"/>
      <c r="M34" s="40"/>
      <c r="N34" s="29">
        <v>3</v>
      </c>
      <c r="O34" s="134" t="s">
        <v>162</v>
      </c>
      <c r="P34" s="135"/>
      <c r="Q34" s="135"/>
      <c r="R34" s="136"/>
      <c r="S34" s="40"/>
      <c r="T34" s="29">
        <v>3</v>
      </c>
      <c r="U34" s="134" t="s">
        <v>163</v>
      </c>
      <c r="V34" s="135"/>
      <c r="W34" s="135"/>
      <c r="X34" s="136"/>
    </row>
    <row r="35" spans="1:24" ht="34.5" customHeight="1" x14ac:dyDescent="0.4">
      <c r="A35" s="61"/>
      <c r="B35" s="57">
        <v>4</v>
      </c>
      <c r="C35" s="380"/>
      <c r="D35" s="381"/>
      <c r="E35" s="381"/>
      <c r="F35" s="382"/>
      <c r="G35" s="61"/>
      <c r="H35" s="57">
        <v>4</v>
      </c>
      <c r="I35" s="237" t="s">
        <v>44</v>
      </c>
      <c r="J35" s="238"/>
      <c r="K35" s="238" t="s">
        <v>164</v>
      </c>
      <c r="L35" s="239"/>
      <c r="M35" s="61"/>
      <c r="N35" s="57">
        <v>4</v>
      </c>
      <c r="O35" s="243"/>
      <c r="P35" s="244"/>
      <c r="Q35" s="244"/>
      <c r="R35" s="245"/>
      <c r="S35" s="61"/>
      <c r="T35" s="57">
        <v>4</v>
      </c>
      <c r="U35" s="237" t="s">
        <v>219</v>
      </c>
      <c r="V35" s="238"/>
      <c r="W35" s="392"/>
      <c r="X35" s="393"/>
    </row>
    <row r="36" spans="1:24" ht="35.25" customHeight="1" thickBot="1" x14ac:dyDescent="0.45">
      <c r="A36" s="44"/>
      <c r="B36" s="32">
        <v>5</v>
      </c>
      <c r="C36" s="365"/>
      <c r="D36" s="366"/>
      <c r="E36" s="366"/>
      <c r="F36" s="367"/>
      <c r="G36" s="44"/>
      <c r="H36" s="32">
        <v>5</v>
      </c>
      <c r="I36" s="134" t="s">
        <v>165</v>
      </c>
      <c r="J36" s="135"/>
      <c r="K36" s="159" t="s">
        <v>45</v>
      </c>
      <c r="L36" s="160"/>
      <c r="M36" s="44"/>
      <c r="N36" s="32">
        <v>5</v>
      </c>
      <c r="O36" s="362"/>
      <c r="P36" s="363"/>
      <c r="Q36" s="363"/>
      <c r="R36" s="364"/>
      <c r="S36" s="44"/>
      <c r="T36" s="32">
        <v>5</v>
      </c>
      <c r="U36" s="137"/>
      <c r="V36" s="138"/>
      <c r="W36" s="138"/>
      <c r="X36" s="139"/>
    </row>
    <row r="37" spans="1:24" s="66" customFormat="1" ht="9.75" customHeight="1" thickBot="1" x14ac:dyDescent="0.45">
      <c r="A37" s="62"/>
      <c r="B37" s="63"/>
      <c r="C37" s="104"/>
      <c r="D37" s="105"/>
      <c r="E37" s="105"/>
      <c r="F37" s="106"/>
      <c r="G37" s="62"/>
      <c r="H37" s="63"/>
      <c r="I37" s="359"/>
      <c r="J37" s="360"/>
      <c r="K37" s="360"/>
      <c r="L37" s="361"/>
      <c r="M37" s="62"/>
      <c r="N37" s="63"/>
      <c r="O37" s="389"/>
      <c r="P37" s="390"/>
      <c r="Q37" s="390"/>
      <c r="R37" s="391"/>
      <c r="S37" s="62"/>
      <c r="T37" s="63"/>
      <c r="U37" s="389"/>
      <c r="V37" s="390"/>
      <c r="W37" s="390"/>
      <c r="X37" s="391"/>
    </row>
    <row r="38" spans="1:24" ht="18.75" customHeight="1" thickBot="1" x14ac:dyDescent="0.45">
      <c r="A38" s="73"/>
      <c r="B38" s="74" t="s">
        <v>28</v>
      </c>
      <c r="C38" s="356" t="s">
        <v>56</v>
      </c>
      <c r="D38" s="357"/>
      <c r="E38" s="357"/>
      <c r="F38" s="358"/>
      <c r="G38" s="73"/>
      <c r="H38" s="74" t="s">
        <v>28</v>
      </c>
      <c r="I38" s="356" t="s">
        <v>56</v>
      </c>
      <c r="J38" s="357"/>
      <c r="K38" s="357"/>
      <c r="L38" s="358"/>
      <c r="M38" s="73"/>
      <c r="N38" s="74" t="s">
        <v>28</v>
      </c>
      <c r="O38" s="356" t="s">
        <v>56</v>
      </c>
      <c r="P38" s="357"/>
      <c r="Q38" s="357"/>
      <c r="R38" s="358"/>
      <c r="S38" s="73"/>
      <c r="T38" s="74" t="s">
        <v>28</v>
      </c>
      <c r="U38" s="356" t="s">
        <v>56</v>
      </c>
      <c r="V38" s="357"/>
      <c r="W38" s="357"/>
      <c r="X38" s="358"/>
    </row>
    <row r="39" spans="1:24" ht="43.5" customHeight="1" x14ac:dyDescent="0.4">
      <c r="A39" s="81" t="s">
        <v>79</v>
      </c>
      <c r="B39" s="82"/>
      <c r="C39" s="236" t="s">
        <v>85</v>
      </c>
      <c r="D39" s="236"/>
      <c r="E39" s="236"/>
      <c r="F39" s="236"/>
      <c r="G39" s="81" t="s">
        <v>79</v>
      </c>
      <c r="H39" s="82"/>
      <c r="I39" s="236" t="s">
        <v>85</v>
      </c>
      <c r="J39" s="236"/>
      <c r="K39" s="236"/>
      <c r="L39" s="236"/>
      <c r="M39" s="81" t="s">
        <v>79</v>
      </c>
      <c r="N39" s="82"/>
      <c r="O39" s="236" t="s">
        <v>85</v>
      </c>
      <c r="P39" s="236"/>
      <c r="Q39" s="236"/>
      <c r="R39" s="236"/>
      <c r="S39" s="81" t="s">
        <v>79</v>
      </c>
      <c r="T39" s="82"/>
      <c r="U39" s="236" t="s">
        <v>85</v>
      </c>
      <c r="V39" s="236"/>
      <c r="W39" s="236"/>
      <c r="X39" s="236"/>
    </row>
    <row r="40" spans="1:24" x14ac:dyDescent="0.4">
      <c r="B40" s="2" t="s">
        <v>101</v>
      </c>
      <c r="E40" s="2" t="s">
        <v>50</v>
      </c>
      <c r="H40" s="2" t="s">
        <v>101</v>
      </c>
      <c r="K40" s="2" t="s">
        <v>50</v>
      </c>
      <c r="N40" s="2" t="s">
        <v>101</v>
      </c>
      <c r="Q40" s="2" t="s">
        <v>50</v>
      </c>
      <c r="T40" s="2" t="s">
        <v>101</v>
      </c>
      <c r="W40" s="2" t="s">
        <v>50</v>
      </c>
    </row>
    <row r="41" spans="1:24" x14ac:dyDescent="0.4">
      <c r="B41" s="2" t="s">
        <v>13</v>
      </c>
      <c r="E41" s="2" t="s">
        <v>102</v>
      </c>
      <c r="H41" s="2" t="s">
        <v>13</v>
      </c>
      <c r="K41" s="2" t="s">
        <v>102</v>
      </c>
      <c r="N41" s="2" t="s">
        <v>13</v>
      </c>
      <c r="Q41" s="2" t="s">
        <v>50</v>
      </c>
      <c r="T41" s="2" t="s">
        <v>13</v>
      </c>
      <c r="W41" s="2" t="s">
        <v>50</v>
      </c>
    </row>
  </sheetData>
  <mergeCells count="122">
    <mergeCell ref="C9:F9"/>
    <mergeCell ref="I9:L9"/>
    <mergeCell ref="O9:R9"/>
    <mergeCell ref="U9:X9"/>
    <mergeCell ref="U36:X36"/>
    <mergeCell ref="U37:X37"/>
    <mergeCell ref="U38:X38"/>
    <mergeCell ref="U20:X20"/>
    <mergeCell ref="U21:X21"/>
    <mergeCell ref="U22:X22"/>
    <mergeCell ref="U23:X23"/>
    <mergeCell ref="U24:X24"/>
    <mergeCell ref="U17:V17"/>
    <mergeCell ref="W17:X17"/>
    <mergeCell ref="U18:V18"/>
    <mergeCell ref="W18:X18"/>
    <mergeCell ref="U19:X19"/>
    <mergeCell ref="U10:X10"/>
    <mergeCell ref="U12:X12"/>
    <mergeCell ref="U13:X13"/>
    <mergeCell ref="U14:X14"/>
    <mergeCell ref="U16:X16"/>
    <mergeCell ref="C21:F21"/>
    <mergeCell ref="C18:F18"/>
    <mergeCell ref="U39:X39"/>
    <mergeCell ref="U30:X30"/>
    <mergeCell ref="U31:X31"/>
    <mergeCell ref="U32:X32"/>
    <mergeCell ref="U33:X33"/>
    <mergeCell ref="U34:X34"/>
    <mergeCell ref="U25:X25"/>
    <mergeCell ref="U26:X26"/>
    <mergeCell ref="U27:X27"/>
    <mergeCell ref="U28:X28"/>
    <mergeCell ref="U29:X29"/>
    <mergeCell ref="U35:V35"/>
    <mergeCell ref="W35:X35"/>
    <mergeCell ref="C39:F39"/>
    <mergeCell ref="I39:L39"/>
    <mergeCell ref="O39:R39"/>
    <mergeCell ref="C19:F19"/>
    <mergeCell ref="C35:F35"/>
    <mergeCell ref="C28:F28"/>
    <mergeCell ref="C33:F33"/>
    <mergeCell ref="I35:J35"/>
    <mergeCell ref="I36:J36"/>
    <mergeCell ref="K35:L35"/>
    <mergeCell ref="K36:L36"/>
    <mergeCell ref="C38:F38"/>
    <mergeCell ref="I38:L38"/>
    <mergeCell ref="C36:F36"/>
    <mergeCell ref="C27:F27"/>
    <mergeCell ref="C26:F26"/>
    <mergeCell ref="C22:F22"/>
    <mergeCell ref="I22:L22"/>
    <mergeCell ref="I23:L23"/>
    <mergeCell ref="O21:R21"/>
    <mergeCell ref="I25:L25"/>
    <mergeCell ref="I27:L27"/>
    <mergeCell ref="O29:R29"/>
    <mergeCell ref="O37:R37"/>
    <mergeCell ref="C20:F20"/>
    <mergeCell ref="I21:L21"/>
    <mergeCell ref="C31:F31"/>
    <mergeCell ref="O38:R38"/>
    <mergeCell ref="I33:L33"/>
    <mergeCell ref="I37:L37"/>
    <mergeCell ref="O36:R36"/>
    <mergeCell ref="C34:F34"/>
    <mergeCell ref="O19:R19"/>
    <mergeCell ref="C32:F32"/>
    <mergeCell ref="C29:F29"/>
    <mergeCell ref="C30:F30"/>
    <mergeCell ref="I31:L31"/>
    <mergeCell ref="I32:L32"/>
    <mergeCell ref="O30:R30"/>
    <mergeCell ref="O31:R31"/>
    <mergeCell ref="O27:R27"/>
    <mergeCell ref="C23:F23"/>
    <mergeCell ref="C24:F24"/>
    <mergeCell ref="C25:F25"/>
    <mergeCell ref="O35:R35"/>
    <mergeCell ref="I34:L34"/>
    <mergeCell ref="O34:R34"/>
    <mergeCell ref="O28:R28"/>
    <mergeCell ref="O17:P17"/>
    <mergeCell ref="Q17:R17"/>
    <mergeCell ref="I17:L17"/>
    <mergeCell ref="O16:R16"/>
    <mergeCell ref="C10:F10"/>
    <mergeCell ref="I10:L10"/>
    <mergeCell ref="O10:R10"/>
    <mergeCell ref="C12:F12"/>
    <mergeCell ref="C13:F13"/>
    <mergeCell ref="O12:R12"/>
    <mergeCell ref="O13:R13"/>
    <mergeCell ref="C14:F14"/>
    <mergeCell ref="O14:R14"/>
    <mergeCell ref="I14:L14"/>
    <mergeCell ref="I12:L12"/>
    <mergeCell ref="I13:L13"/>
    <mergeCell ref="C16:F16"/>
    <mergeCell ref="I16:L16"/>
    <mergeCell ref="C17:F17"/>
    <mergeCell ref="O33:R33"/>
    <mergeCell ref="Q18:R18"/>
    <mergeCell ref="O18:P18"/>
    <mergeCell ref="O24:R24"/>
    <mergeCell ref="O20:R20"/>
    <mergeCell ref="I24:L24"/>
    <mergeCell ref="I18:L18"/>
    <mergeCell ref="I20:L20"/>
    <mergeCell ref="I19:L19"/>
    <mergeCell ref="O32:R32"/>
    <mergeCell ref="O26:R26"/>
    <mergeCell ref="O25:R25"/>
    <mergeCell ref="I26:L26"/>
    <mergeCell ref="I30:L30"/>
    <mergeCell ref="I28:L28"/>
    <mergeCell ref="I29:L29"/>
    <mergeCell ref="O22:R22"/>
    <mergeCell ref="O23:R23"/>
  </mergeCells>
  <dataValidations count="3">
    <dataValidation type="list" allowBlank="1" showInputMessage="1" showErrorMessage="1" sqref="E6 K6 Q6 W6">
      <formula1>"осенний, весенний"</formula1>
    </dataValidation>
    <dataValidation allowBlank="1" showDropDown="1" showInputMessage="1" showErrorMessage="1" sqref="O7 I7 C7 U7"/>
    <dataValidation type="list" allowBlank="1" showInputMessage="1" showErrorMessage="1" sqref="C6 I6 O6 U6">
      <formula1>"2025-2026"</formula1>
    </dataValidation>
  </dataValidations>
  <pageMargins left="1.299212598425197" right="0.5118110236220472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5DF9FD03-BDD3-48B2-9674-90242B84CA08}">
            <xm:f>IF('1 курс'!$C$9=0,"",'1 курс'!$C$9)</xm:f>
            <x14:dxf/>
          </x14:cfRule>
          <xm:sqref>C9</xm:sqref>
        </x14:conditionalFormatting>
        <x14:conditionalFormatting xmlns:xm="http://schemas.microsoft.com/office/excel/2006/main">
          <x14:cfRule type="expression" priority="7" id="{CC537CA1-8BF6-4682-AEC2-3793FD3CDA17}">
            <xm:f>IF('1 курс'!$C$9=0,"",'1 курс'!$C$9)</xm:f>
            <x14:dxf/>
          </x14:cfRule>
          <xm:sqref>I9</xm:sqref>
        </x14:conditionalFormatting>
        <x14:conditionalFormatting xmlns:xm="http://schemas.microsoft.com/office/excel/2006/main">
          <x14:cfRule type="expression" priority="6" id="{61FB5963-1778-419B-83F3-4F9AEB7DEE76}">
            <xm:f>IF('1 курс'!$C$9=0,"",'1 курс'!$C$9)</xm:f>
            <x14:dxf/>
          </x14:cfRule>
          <xm:sqref>O9</xm:sqref>
        </x14:conditionalFormatting>
        <x14:conditionalFormatting xmlns:xm="http://schemas.microsoft.com/office/excel/2006/main">
          <x14:cfRule type="expression" priority="5" id="{61F45922-F5D8-40F6-96EC-1B473301B5FE}">
            <xm:f>IF('1 курс'!$C$9=0,"",'1 курс'!$C$9)</xm:f>
            <x14:dxf/>
          </x14:cfRule>
          <xm:sqref>U9</xm:sqref>
        </x14:conditionalFormatting>
        <x14:conditionalFormatting xmlns:xm="http://schemas.microsoft.com/office/excel/2006/main">
          <x14:cfRule type="expression" priority="4" id="{14CE46B9-A271-4BBA-8719-965727D5EE14}">
            <xm:f>IF('1 курс'!$C$9=0,"",'1 курс'!$C$9)</xm:f>
            <x14:dxf/>
          </x14:cfRule>
          <xm:sqref>C10</xm:sqref>
        </x14:conditionalFormatting>
        <x14:conditionalFormatting xmlns:xm="http://schemas.microsoft.com/office/excel/2006/main">
          <x14:cfRule type="expression" priority="3" id="{C6C27A05-0D3D-40EA-AE59-BA9BCD68DB5F}">
            <xm:f>IF('1 курс'!$C$9=0,"",'1 курс'!$C$9)</xm:f>
            <x14:dxf/>
          </x14:cfRule>
          <xm:sqref>I10</xm:sqref>
        </x14:conditionalFormatting>
        <x14:conditionalFormatting xmlns:xm="http://schemas.microsoft.com/office/excel/2006/main">
          <x14:cfRule type="expression" priority="2" id="{D140F56F-34F6-4E52-B8C5-8A9E77B1C5C0}">
            <xm:f>IF('1 курс'!$C$9=0,"",'1 курс'!$C$9)</xm:f>
            <x14:dxf/>
          </x14:cfRule>
          <xm:sqref>O10</xm:sqref>
        </x14:conditionalFormatting>
        <x14:conditionalFormatting xmlns:xm="http://schemas.microsoft.com/office/excel/2006/main">
          <x14:cfRule type="expression" priority="1" id="{1B1B464E-B43D-46D8-85CE-A3326136F5A5}">
            <xm:f>IF('1 курс'!$C$9=0,"",'1 курс'!$C$9)</xm:f>
            <x14:dxf/>
          </x14:cfRule>
          <xm:sqref>U10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topLeftCell="E7" zoomScaleNormal="100" workbookViewId="0">
      <selection activeCell="V17" sqref="V17"/>
    </sheetView>
  </sheetViews>
  <sheetFormatPr defaultColWidth="9.140625" defaultRowHeight="18.75" x14ac:dyDescent="0.4"/>
  <cols>
    <col min="1" max="1" width="6.85546875" style="2" customWidth="1"/>
    <col min="2" max="2" width="10.28515625" style="2" customWidth="1"/>
    <col min="3" max="3" width="20" style="2" customWidth="1"/>
    <col min="4" max="5" width="16.140625" style="2" customWidth="1"/>
    <col min="6" max="6" width="17.5703125" style="2" customWidth="1"/>
    <col min="7" max="7" width="6.85546875" style="2" customWidth="1"/>
    <col min="8" max="8" width="11.28515625" style="2" customWidth="1"/>
    <col min="9" max="9" width="20" style="2" customWidth="1"/>
    <col min="10" max="10" width="16.140625" style="2" customWidth="1"/>
    <col min="11" max="11" width="17.140625" style="2" customWidth="1"/>
    <col min="12" max="12" width="17.5703125" style="2" customWidth="1"/>
    <col min="13" max="13" width="6.85546875" style="2" customWidth="1"/>
    <col min="14" max="14" width="9.5703125" style="2" customWidth="1"/>
    <col min="15" max="15" width="20" style="2" customWidth="1"/>
    <col min="16" max="17" width="16.140625" style="2" customWidth="1"/>
    <col min="18" max="18" width="17.5703125" style="2" customWidth="1"/>
    <col min="19" max="16384" width="9.140625" style="2"/>
  </cols>
  <sheetData>
    <row r="1" spans="1:18" x14ac:dyDescent="0.4">
      <c r="A1" s="1" t="s">
        <v>7</v>
      </c>
      <c r="F1" s="3" t="s">
        <v>8</v>
      </c>
      <c r="G1" s="1" t="s">
        <v>7</v>
      </c>
      <c r="L1" s="3" t="s">
        <v>8</v>
      </c>
      <c r="M1" s="1" t="s">
        <v>7</v>
      </c>
      <c r="R1" s="3" t="s">
        <v>8</v>
      </c>
    </row>
    <row r="2" spans="1:18" x14ac:dyDescent="0.4">
      <c r="A2" s="1" t="s">
        <v>92</v>
      </c>
      <c r="F2" s="3" t="s">
        <v>9</v>
      </c>
      <c r="G2" s="1" t="s">
        <v>92</v>
      </c>
      <c r="L2" s="3" t="s">
        <v>9</v>
      </c>
      <c r="M2" s="1" t="s">
        <v>92</v>
      </c>
      <c r="R2" s="3" t="s">
        <v>9</v>
      </c>
    </row>
    <row r="3" spans="1:18" x14ac:dyDescent="0.4">
      <c r="A3" s="1" t="s">
        <v>10</v>
      </c>
      <c r="F3" s="3" t="s">
        <v>11</v>
      </c>
      <c r="G3" s="1" t="s">
        <v>10</v>
      </c>
      <c r="L3" s="3" t="s">
        <v>11</v>
      </c>
      <c r="M3" s="1" t="s">
        <v>10</v>
      </c>
      <c r="R3" s="3" t="s">
        <v>11</v>
      </c>
    </row>
    <row r="4" spans="1:18" x14ac:dyDescent="0.4">
      <c r="A4" s="1"/>
      <c r="F4" s="3" t="s">
        <v>103</v>
      </c>
      <c r="G4" s="1"/>
      <c r="L4" s="3" t="s">
        <v>98</v>
      </c>
      <c r="M4" s="1"/>
      <c r="R4" s="3" t="s">
        <v>98</v>
      </c>
    </row>
    <row r="5" spans="1:18" x14ac:dyDescent="0.4">
      <c r="A5" s="4" t="s">
        <v>12</v>
      </c>
      <c r="B5" s="5"/>
      <c r="C5" s="5"/>
      <c r="D5" s="6"/>
      <c r="E5" s="5"/>
      <c r="F5" s="7"/>
      <c r="G5" s="4" t="s">
        <v>12</v>
      </c>
      <c r="H5" s="5"/>
      <c r="I5" s="5"/>
      <c r="J5" s="6"/>
      <c r="K5" s="5"/>
      <c r="L5" s="7"/>
      <c r="M5" s="4" t="s">
        <v>12</v>
      </c>
      <c r="N5" s="5"/>
      <c r="O5" s="5"/>
      <c r="P5" s="6"/>
      <c r="Q5" s="5"/>
      <c r="R5" s="7"/>
    </row>
    <row r="6" spans="1:18" x14ac:dyDescent="0.4">
      <c r="A6" s="8" t="s">
        <v>1</v>
      </c>
      <c r="C6" s="9" t="s">
        <v>94</v>
      </c>
      <c r="D6" s="9"/>
      <c r="E6" s="10" t="s">
        <v>31</v>
      </c>
      <c r="F6" s="11" t="s">
        <v>2</v>
      </c>
      <c r="G6" s="8" t="s">
        <v>1</v>
      </c>
      <c r="I6" s="9" t="s">
        <v>94</v>
      </c>
      <c r="J6" s="9"/>
      <c r="K6" s="10" t="s">
        <v>31</v>
      </c>
      <c r="L6" s="11" t="s">
        <v>2</v>
      </c>
      <c r="M6" s="8" t="s">
        <v>1</v>
      </c>
      <c r="O6" s="9" t="s">
        <v>94</v>
      </c>
      <c r="P6" s="9"/>
      <c r="Q6" s="10" t="s">
        <v>31</v>
      </c>
      <c r="R6" s="11" t="s">
        <v>2</v>
      </c>
    </row>
    <row r="7" spans="1:18" x14ac:dyDescent="0.4">
      <c r="A7" s="12" t="s">
        <v>3</v>
      </c>
      <c r="C7" s="13" t="s">
        <v>4</v>
      </c>
      <c r="D7" s="13"/>
      <c r="E7" s="9">
        <v>4</v>
      </c>
      <c r="F7" s="11" t="s">
        <v>5</v>
      </c>
      <c r="G7" s="12" t="s">
        <v>3</v>
      </c>
      <c r="I7" s="13" t="str">
        <f>'2 курс'!J7</f>
        <v>государства и права</v>
      </c>
      <c r="J7" s="13"/>
      <c r="K7" s="9">
        <v>4</v>
      </c>
      <c r="L7" s="11" t="s">
        <v>5</v>
      </c>
      <c r="M7" s="12" t="s">
        <v>3</v>
      </c>
      <c r="O7" s="13" t="str">
        <f t="shared" ref="O7:O8" si="0">I7</f>
        <v>государства и права</v>
      </c>
      <c r="P7" s="13"/>
      <c r="Q7" s="9">
        <v>4</v>
      </c>
      <c r="R7" s="11" t="s">
        <v>5</v>
      </c>
    </row>
    <row r="8" spans="1:18" x14ac:dyDescent="0.4">
      <c r="A8" s="12" t="s">
        <v>15</v>
      </c>
      <c r="C8" s="14" t="str">
        <f>'1 курс'!$C$8</f>
        <v>40.03.01 Юриспруденция</v>
      </c>
      <c r="D8" s="14"/>
      <c r="E8" s="15" t="s">
        <v>54</v>
      </c>
      <c r="F8" s="16" t="s">
        <v>6</v>
      </c>
      <c r="G8" s="12" t="s">
        <v>15</v>
      </c>
      <c r="I8" s="14" t="str">
        <f>'2 курс'!J8</f>
        <v>40.03.01 Юриспруденция</v>
      </c>
      <c r="J8" s="14"/>
      <c r="K8" s="15" t="s">
        <v>55</v>
      </c>
      <c r="L8" s="16" t="s">
        <v>6</v>
      </c>
      <c r="M8" s="12" t="s">
        <v>15</v>
      </c>
      <c r="O8" s="14" t="str">
        <f t="shared" si="0"/>
        <v>40.03.01 Юриспруденция</v>
      </c>
      <c r="P8" s="14"/>
      <c r="Q8" s="15" t="s">
        <v>27</v>
      </c>
      <c r="R8" s="16" t="s">
        <v>6</v>
      </c>
    </row>
    <row r="9" spans="1:18" x14ac:dyDescent="0.4">
      <c r="A9" s="12" t="s">
        <v>24</v>
      </c>
      <c r="C9" s="13" t="s">
        <v>66</v>
      </c>
      <c r="D9" s="17"/>
      <c r="E9" s="17"/>
      <c r="G9" s="12" t="s">
        <v>24</v>
      </c>
      <c r="I9" s="13" t="s">
        <v>67</v>
      </c>
      <c r="J9" s="17"/>
      <c r="K9" s="17"/>
      <c r="L9" s="17"/>
      <c r="M9" s="12" t="s">
        <v>24</v>
      </c>
      <c r="O9" s="13" t="s">
        <v>68</v>
      </c>
      <c r="P9" s="17"/>
      <c r="Q9" s="17"/>
      <c r="R9" s="17"/>
    </row>
    <row r="10" spans="1:18" ht="19.5" thickBot="1" x14ac:dyDescent="0.45">
      <c r="A10" s="12" t="s">
        <v>32</v>
      </c>
      <c r="C10" s="13" t="s">
        <v>105</v>
      </c>
      <c r="D10" s="17"/>
      <c r="E10" s="17"/>
      <c r="G10" s="12" t="s">
        <v>32</v>
      </c>
      <c r="I10" s="13" t="s">
        <v>105</v>
      </c>
      <c r="J10" s="17"/>
      <c r="K10" s="17"/>
      <c r="L10" s="17"/>
      <c r="M10" s="12" t="s">
        <v>32</v>
      </c>
      <c r="O10" s="13" t="s">
        <v>105</v>
      </c>
      <c r="P10" s="17"/>
      <c r="Q10" s="17"/>
      <c r="R10" s="17"/>
    </row>
    <row r="11" spans="1:18" ht="19.5" thickBot="1" x14ac:dyDescent="0.45">
      <c r="A11" s="18" t="s">
        <v>17</v>
      </c>
      <c r="B11" s="19" t="s">
        <v>0</v>
      </c>
      <c r="C11" s="20" t="s">
        <v>25</v>
      </c>
      <c r="D11" s="20"/>
      <c r="E11" s="21"/>
      <c r="F11" s="22"/>
      <c r="G11" s="18" t="s">
        <v>17</v>
      </c>
      <c r="H11" s="19" t="s">
        <v>0</v>
      </c>
      <c r="I11" s="20" t="s">
        <v>25</v>
      </c>
      <c r="J11" s="24"/>
      <c r="K11" s="21"/>
      <c r="L11" s="22"/>
      <c r="M11" s="18" t="s">
        <v>17</v>
      </c>
      <c r="N11" s="19" t="s">
        <v>0</v>
      </c>
      <c r="O11" s="20" t="s">
        <v>25</v>
      </c>
      <c r="P11" s="24"/>
      <c r="Q11" s="21"/>
      <c r="R11" s="22"/>
    </row>
    <row r="12" spans="1:18" x14ac:dyDescent="0.4">
      <c r="A12" s="25" t="s">
        <v>18</v>
      </c>
      <c r="B12" s="26">
        <v>2</v>
      </c>
      <c r="C12" s="149" t="s">
        <v>185</v>
      </c>
      <c r="D12" s="150"/>
      <c r="E12" s="150"/>
      <c r="F12" s="151"/>
      <c r="G12" s="25" t="s">
        <v>18</v>
      </c>
      <c r="H12" s="26">
        <v>3</v>
      </c>
      <c r="I12" s="149" t="s">
        <v>223</v>
      </c>
      <c r="J12" s="150"/>
      <c r="K12" s="150"/>
      <c r="L12" s="151"/>
      <c r="M12" s="25" t="s">
        <v>18</v>
      </c>
      <c r="N12" s="26">
        <v>2</v>
      </c>
      <c r="O12" s="146" t="s">
        <v>62</v>
      </c>
      <c r="P12" s="147"/>
      <c r="Q12" s="147"/>
      <c r="R12" s="148"/>
    </row>
    <row r="13" spans="1:18" ht="17.25" customHeight="1" x14ac:dyDescent="0.4">
      <c r="A13" s="28"/>
      <c r="B13" s="29">
        <v>3</v>
      </c>
      <c r="C13" s="328" t="s">
        <v>186</v>
      </c>
      <c r="D13" s="162"/>
      <c r="E13" s="162"/>
      <c r="F13" s="163"/>
      <c r="G13" s="28"/>
      <c r="H13" s="29">
        <v>4</v>
      </c>
      <c r="I13" s="328" t="s">
        <v>187</v>
      </c>
      <c r="J13" s="162"/>
      <c r="K13" s="162"/>
      <c r="L13" s="163"/>
      <c r="M13" s="28"/>
      <c r="N13" s="29">
        <v>3</v>
      </c>
      <c r="O13" s="181" t="s">
        <v>209</v>
      </c>
      <c r="P13" s="182"/>
      <c r="Q13" s="182"/>
      <c r="R13" s="183"/>
    </row>
    <row r="14" spans="1:18" ht="19.5" customHeight="1" x14ac:dyDescent="0.4">
      <c r="A14" s="28"/>
      <c r="B14" s="29">
        <v>4</v>
      </c>
      <c r="C14" s="328" t="s">
        <v>187</v>
      </c>
      <c r="D14" s="162"/>
      <c r="E14" s="162"/>
      <c r="F14" s="163"/>
      <c r="G14" s="28"/>
      <c r="H14" s="29">
        <v>5</v>
      </c>
      <c r="I14" s="328" t="s">
        <v>198</v>
      </c>
      <c r="J14" s="162"/>
      <c r="K14" s="162"/>
      <c r="L14" s="163"/>
      <c r="M14" s="28"/>
      <c r="N14" s="29">
        <v>4</v>
      </c>
      <c r="O14" s="328" t="s">
        <v>187</v>
      </c>
      <c r="P14" s="162"/>
      <c r="Q14" s="162"/>
      <c r="R14" s="163"/>
    </row>
    <row r="15" spans="1:18" ht="20.25" customHeight="1" thickBot="1" x14ac:dyDescent="0.45">
      <c r="A15" s="31"/>
      <c r="B15" s="32">
        <v>5</v>
      </c>
      <c r="C15" s="380"/>
      <c r="D15" s="381"/>
      <c r="E15" s="381"/>
      <c r="F15" s="382"/>
      <c r="G15" s="31"/>
      <c r="H15" s="32">
        <v>6</v>
      </c>
      <c r="I15" s="396" t="s">
        <v>199</v>
      </c>
      <c r="J15" s="397"/>
      <c r="K15" s="397"/>
      <c r="L15" s="398"/>
      <c r="M15" s="31"/>
      <c r="N15" s="32">
        <v>5</v>
      </c>
      <c r="O15" s="409"/>
      <c r="P15" s="410"/>
      <c r="Q15" s="410"/>
      <c r="R15" s="411"/>
    </row>
    <row r="16" spans="1:18" ht="18" customHeight="1" x14ac:dyDescent="0.4">
      <c r="A16" s="34" t="s">
        <v>19</v>
      </c>
      <c r="B16" s="35">
        <v>2</v>
      </c>
      <c r="C16" s="166" t="s">
        <v>188</v>
      </c>
      <c r="D16" s="167"/>
      <c r="E16" s="167"/>
      <c r="F16" s="168"/>
      <c r="G16" s="34" t="s">
        <v>19</v>
      </c>
      <c r="H16" s="35">
        <v>2</v>
      </c>
      <c r="I16" s="166" t="s">
        <v>200</v>
      </c>
      <c r="J16" s="167"/>
      <c r="K16" s="167"/>
      <c r="L16" s="168"/>
      <c r="M16" s="34" t="s">
        <v>19</v>
      </c>
      <c r="N16" s="35">
        <v>2</v>
      </c>
      <c r="O16" s="329"/>
      <c r="P16" s="330"/>
      <c r="Q16" s="330"/>
      <c r="R16" s="331"/>
    </row>
    <row r="17" spans="1:18" ht="18" customHeight="1" x14ac:dyDescent="0.4">
      <c r="A17" s="28"/>
      <c r="B17" s="29">
        <v>3</v>
      </c>
      <c r="C17" s="328" t="s">
        <v>189</v>
      </c>
      <c r="D17" s="162"/>
      <c r="E17" s="162"/>
      <c r="F17" s="163"/>
      <c r="G17" s="28"/>
      <c r="H17" s="29">
        <v>3</v>
      </c>
      <c r="I17" s="181" t="s">
        <v>201</v>
      </c>
      <c r="J17" s="182"/>
      <c r="K17" s="182"/>
      <c r="L17" s="183"/>
      <c r="M17" s="28"/>
      <c r="N17" s="29">
        <v>3</v>
      </c>
      <c r="O17" s="134" t="s">
        <v>213</v>
      </c>
      <c r="P17" s="135"/>
      <c r="Q17" s="135"/>
      <c r="R17" s="136"/>
    </row>
    <row r="18" spans="1:18" ht="37.5" customHeight="1" x14ac:dyDescent="0.4">
      <c r="A18" s="28"/>
      <c r="B18" s="29">
        <v>4</v>
      </c>
      <c r="C18" s="181" t="s">
        <v>93</v>
      </c>
      <c r="D18" s="182"/>
      <c r="E18" s="182"/>
      <c r="F18" s="183"/>
      <c r="G18" s="28"/>
      <c r="H18" s="29">
        <v>4</v>
      </c>
      <c r="I18" s="149" t="s">
        <v>221</v>
      </c>
      <c r="J18" s="150"/>
      <c r="K18" s="150"/>
      <c r="L18" s="151"/>
      <c r="M18" s="28"/>
      <c r="N18" s="29">
        <v>4</v>
      </c>
      <c r="O18" s="181" t="s">
        <v>211</v>
      </c>
      <c r="P18" s="182"/>
      <c r="Q18" s="182"/>
      <c r="R18" s="183"/>
    </row>
    <row r="19" spans="1:18" ht="36" customHeight="1" x14ac:dyDescent="0.4">
      <c r="A19" s="28"/>
      <c r="B19" s="29">
        <v>5</v>
      </c>
      <c r="C19" s="181" t="s">
        <v>91</v>
      </c>
      <c r="D19" s="182"/>
      <c r="E19" s="182"/>
      <c r="F19" s="183"/>
      <c r="G19" s="28"/>
      <c r="H19" s="29">
        <v>5</v>
      </c>
      <c r="I19" s="181" t="s">
        <v>222</v>
      </c>
      <c r="J19" s="182"/>
      <c r="K19" s="182"/>
      <c r="L19" s="183"/>
      <c r="M19" s="28"/>
      <c r="N19" s="29">
        <v>5</v>
      </c>
      <c r="O19" s="181" t="s">
        <v>212</v>
      </c>
      <c r="P19" s="182"/>
      <c r="Q19" s="182"/>
      <c r="R19" s="183"/>
    </row>
    <row r="20" spans="1:18" ht="18" customHeight="1" thickBot="1" x14ac:dyDescent="0.45">
      <c r="A20" s="36"/>
      <c r="B20" s="32">
        <v>6</v>
      </c>
      <c r="C20" s="406"/>
      <c r="D20" s="407"/>
      <c r="E20" s="407"/>
      <c r="F20" s="408"/>
      <c r="G20" s="36"/>
      <c r="H20" s="32">
        <v>6</v>
      </c>
      <c r="I20" s="213"/>
      <c r="J20" s="214"/>
      <c r="K20" s="214"/>
      <c r="L20" s="215"/>
      <c r="M20" s="36"/>
      <c r="N20" s="32">
        <v>6</v>
      </c>
      <c r="O20" s="362"/>
      <c r="P20" s="363"/>
      <c r="Q20" s="363"/>
      <c r="R20" s="364"/>
    </row>
    <row r="21" spans="1:18" x14ac:dyDescent="0.4">
      <c r="A21" s="34" t="s">
        <v>20</v>
      </c>
      <c r="B21" s="35">
        <v>2</v>
      </c>
      <c r="C21" s="402" t="s">
        <v>90</v>
      </c>
      <c r="D21" s="164"/>
      <c r="E21" s="164"/>
      <c r="F21" s="165"/>
      <c r="G21" s="34" t="s">
        <v>20</v>
      </c>
      <c r="H21" s="35">
        <v>2</v>
      </c>
      <c r="I21" s="402" t="s">
        <v>90</v>
      </c>
      <c r="J21" s="164"/>
      <c r="K21" s="164"/>
      <c r="L21" s="165"/>
      <c r="M21" s="34" t="s">
        <v>20</v>
      </c>
      <c r="N21" s="35">
        <v>2</v>
      </c>
      <c r="O21" s="146" t="s">
        <v>62</v>
      </c>
      <c r="P21" s="147"/>
      <c r="Q21" s="147"/>
      <c r="R21" s="148"/>
    </row>
    <row r="22" spans="1:18" x14ac:dyDescent="0.4">
      <c r="A22" s="28"/>
      <c r="B22" s="29">
        <v>3</v>
      </c>
      <c r="C22" s="327" t="s">
        <v>90</v>
      </c>
      <c r="D22" s="159"/>
      <c r="E22" s="159"/>
      <c r="F22" s="160"/>
      <c r="G22" s="28"/>
      <c r="H22" s="29">
        <v>3</v>
      </c>
      <c r="I22" s="327" t="s">
        <v>90</v>
      </c>
      <c r="J22" s="159"/>
      <c r="K22" s="159"/>
      <c r="L22" s="160"/>
      <c r="M22" s="28"/>
      <c r="N22" s="29">
        <v>3</v>
      </c>
      <c r="O22" s="219" t="s">
        <v>227</v>
      </c>
      <c r="P22" s="220"/>
      <c r="Q22" s="220"/>
      <c r="R22" s="221"/>
    </row>
    <row r="23" spans="1:18" ht="18" customHeight="1" x14ac:dyDescent="0.4">
      <c r="A23" s="28"/>
      <c r="B23" s="29">
        <v>4</v>
      </c>
      <c r="C23" s="328" t="s">
        <v>190</v>
      </c>
      <c r="D23" s="162"/>
      <c r="E23" s="162"/>
      <c r="F23" s="163"/>
      <c r="G23" s="28"/>
      <c r="H23" s="29">
        <v>4</v>
      </c>
      <c r="I23" s="134" t="s">
        <v>202</v>
      </c>
      <c r="J23" s="135"/>
      <c r="K23" s="135"/>
      <c r="L23" s="136"/>
      <c r="M23" s="28"/>
      <c r="N23" s="29">
        <v>4</v>
      </c>
      <c r="O23" s="328" t="s">
        <v>217</v>
      </c>
      <c r="P23" s="162"/>
      <c r="Q23" s="162"/>
      <c r="R23" s="163"/>
    </row>
    <row r="24" spans="1:18" ht="20.25" customHeight="1" x14ac:dyDescent="0.4">
      <c r="A24" s="28"/>
      <c r="B24" s="29">
        <v>5</v>
      </c>
      <c r="C24" s="328" t="s">
        <v>197</v>
      </c>
      <c r="D24" s="162"/>
      <c r="E24" s="162"/>
      <c r="F24" s="163"/>
      <c r="G24" s="28"/>
      <c r="H24" s="29">
        <v>5</v>
      </c>
      <c r="I24" s="149" t="s">
        <v>203</v>
      </c>
      <c r="J24" s="150"/>
      <c r="K24" s="150"/>
      <c r="L24" s="151"/>
      <c r="M24" s="28"/>
      <c r="N24" s="29">
        <v>5</v>
      </c>
      <c r="O24" s="328" t="s">
        <v>217</v>
      </c>
      <c r="P24" s="162"/>
      <c r="Q24" s="162"/>
      <c r="R24" s="163"/>
    </row>
    <row r="25" spans="1:18" ht="19.5" thickBot="1" x14ac:dyDescent="0.45">
      <c r="A25" s="36"/>
      <c r="B25" s="32">
        <v>6</v>
      </c>
      <c r="C25" s="365"/>
      <c r="D25" s="366"/>
      <c r="E25" s="366"/>
      <c r="F25" s="367"/>
      <c r="G25" s="36"/>
      <c r="H25" s="32">
        <v>6</v>
      </c>
      <c r="I25" s="403"/>
      <c r="J25" s="404"/>
      <c r="K25" s="404"/>
      <c r="L25" s="405"/>
      <c r="M25" s="36"/>
      <c r="N25" s="32">
        <v>6</v>
      </c>
      <c r="O25" s="172"/>
      <c r="P25" s="173"/>
      <c r="Q25" s="173"/>
      <c r="R25" s="174"/>
    </row>
    <row r="26" spans="1:18" ht="33" customHeight="1" x14ac:dyDescent="0.4">
      <c r="A26" s="34" t="s">
        <v>21</v>
      </c>
      <c r="B26" s="35">
        <v>1</v>
      </c>
      <c r="C26" s="281" t="s">
        <v>191</v>
      </c>
      <c r="D26" s="282"/>
      <c r="E26" s="282"/>
      <c r="F26" s="283"/>
      <c r="G26" s="34" t="s">
        <v>21</v>
      </c>
      <c r="H26" s="35">
        <v>3</v>
      </c>
      <c r="I26" s="302" t="s">
        <v>194</v>
      </c>
      <c r="J26" s="279"/>
      <c r="K26" s="141"/>
      <c r="L26" s="142"/>
      <c r="M26" s="34" t="s">
        <v>21</v>
      </c>
      <c r="N26" s="35">
        <v>2</v>
      </c>
      <c r="O26" s="321" t="s">
        <v>214</v>
      </c>
      <c r="P26" s="322"/>
      <c r="Q26" s="322"/>
      <c r="R26" s="323"/>
    </row>
    <row r="27" spans="1:18" ht="18" customHeight="1" x14ac:dyDescent="0.4">
      <c r="A27" s="28"/>
      <c r="B27" s="29">
        <v>2</v>
      </c>
      <c r="C27" s="181" t="s">
        <v>192</v>
      </c>
      <c r="D27" s="182"/>
      <c r="E27" s="182"/>
      <c r="F27" s="183"/>
      <c r="G27" s="28"/>
      <c r="H27" s="29">
        <v>4</v>
      </c>
      <c r="I27" s="134" t="s">
        <v>89</v>
      </c>
      <c r="J27" s="135"/>
      <c r="K27" s="135"/>
      <c r="L27" s="136"/>
      <c r="M27" s="28"/>
      <c r="N27" s="29">
        <v>3</v>
      </c>
      <c r="O27" s="181" t="s">
        <v>215</v>
      </c>
      <c r="P27" s="182"/>
      <c r="Q27" s="182"/>
      <c r="R27" s="183"/>
    </row>
    <row r="28" spans="1:18" ht="18" customHeight="1" x14ac:dyDescent="0.4">
      <c r="A28" s="28"/>
      <c r="B28" s="29">
        <v>3</v>
      </c>
      <c r="C28" s="181" t="s">
        <v>192</v>
      </c>
      <c r="D28" s="182"/>
      <c r="E28" s="182"/>
      <c r="F28" s="183"/>
      <c r="G28" s="28"/>
      <c r="H28" s="29">
        <v>5</v>
      </c>
      <c r="I28" s="134"/>
      <c r="J28" s="135"/>
      <c r="K28" s="135"/>
      <c r="L28" s="136"/>
      <c r="M28" s="28"/>
      <c r="N28" s="29">
        <v>4</v>
      </c>
      <c r="O28" s="181" t="s">
        <v>214</v>
      </c>
      <c r="P28" s="182"/>
      <c r="Q28" s="182"/>
      <c r="R28" s="183"/>
    </row>
    <row r="29" spans="1:18" ht="18" customHeight="1" thickBot="1" x14ac:dyDescent="0.45">
      <c r="A29" s="36"/>
      <c r="B29" s="32">
        <v>4</v>
      </c>
      <c r="C29" s="396" t="s">
        <v>193</v>
      </c>
      <c r="D29" s="397"/>
      <c r="E29" s="397"/>
      <c r="F29" s="398"/>
      <c r="G29" s="36"/>
      <c r="H29" s="32">
        <v>6</v>
      </c>
      <c r="I29" s="399"/>
      <c r="J29" s="400"/>
      <c r="K29" s="400"/>
      <c r="L29" s="401"/>
      <c r="M29" s="36"/>
      <c r="N29" s="32">
        <v>5</v>
      </c>
      <c r="O29" s="416" t="s">
        <v>215</v>
      </c>
      <c r="P29" s="417"/>
      <c r="Q29" s="417"/>
      <c r="R29" s="418"/>
    </row>
    <row r="30" spans="1:18" x14ac:dyDescent="0.4">
      <c r="A30" s="34" t="s">
        <v>22</v>
      </c>
      <c r="B30" s="35">
        <v>2</v>
      </c>
      <c r="C30" s="281" t="s">
        <v>195</v>
      </c>
      <c r="D30" s="282"/>
      <c r="E30" s="282"/>
      <c r="F30" s="283"/>
      <c r="G30" s="34" t="s">
        <v>22</v>
      </c>
      <c r="H30" s="35">
        <v>1</v>
      </c>
      <c r="I30" s="226" t="s">
        <v>204</v>
      </c>
      <c r="J30" s="227"/>
      <c r="K30" s="227"/>
      <c r="L30" s="228"/>
      <c r="M30" s="34" t="s">
        <v>22</v>
      </c>
      <c r="N30" s="35">
        <v>3</v>
      </c>
      <c r="O30" s="226" t="s">
        <v>216</v>
      </c>
      <c r="P30" s="227"/>
      <c r="Q30" s="227"/>
      <c r="R30" s="228"/>
    </row>
    <row r="31" spans="1:18" ht="18.75" customHeight="1" x14ac:dyDescent="0.4">
      <c r="A31" s="37"/>
      <c r="B31" s="29">
        <v>3</v>
      </c>
      <c r="C31" s="181" t="s">
        <v>196</v>
      </c>
      <c r="D31" s="182"/>
      <c r="E31" s="182"/>
      <c r="F31" s="183"/>
      <c r="G31" s="37"/>
      <c r="H31" s="29">
        <v>2</v>
      </c>
      <c r="I31" s="134" t="s">
        <v>205</v>
      </c>
      <c r="J31" s="135"/>
      <c r="K31" s="135"/>
      <c r="L31" s="136"/>
      <c r="M31" s="37"/>
      <c r="N31" s="29">
        <v>4</v>
      </c>
      <c r="O31" s="181" t="s">
        <v>210</v>
      </c>
      <c r="P31" s="182"/>
      <c r="Q31" s="182"/>
      <c r="R31" s="183"/>
    </row>
    <row r="32" spans="1:18" ht="33.75" customHeight="1" x14ac:dyDescent="0.4">
      <c r="A32" s="37"/>
      <c r="B32" s="29">
        <v>4</v>
      </c>
      <c r="C32" s="181" t="s">
        <v>91</v>
      </c>
      <c r="D32" s="182"/>
      <c r="E32" s="182"/>
      <c r="F32" s="183"/>
      <c r="G32" s="37"/>
      <c r="H32" s="29">
        <v>3</v>
      </c>
      <c r="I32" s="134" t="s">
        <v>205</v>
      </c>
      <c r="J32" s="135"/>
      <c r="K32" s="135"/>
      <c r="L32" s="136"/>
      <c r="M32" s="37"/>
      <c r="N32" s="29">
        <v>5</v>
      </c>
      <c r="O32" s="134" t="s">
        <v>207</v>
      </c>
      <c r="P32" s="135"/>
      <c r="Q32" s="135" t="s">
        <v>208</v>
      </c>
      <c r="R32" s="136"/>
    </row>
    <row r="33" spans="1:18" ht="36.75" customHeight="1" thickBot="1" x14ac:dyDescent="0.45">
      <c r="A33" s="38"/>
      <c r="B33" s="32">
        <v>5</v>
      </c>
      <c r="C33" s="362"/>
      <c r="D33" s="363"/>
      <c r="E33" s="363"/>
      <c r="F33" s="364"/>
      <c r="G33" s="38"/>
      <c r="H33" s="32">
        <v>4</v>
      </c>
      <c r="I33" s="353"/>
      <c r="J33" s="354"/>
      <c r="K33" s="394" t="s">
        <v>206</v>
      </c>
      <c r="L33" s="395"/>
      <c r="M33" s="38"/>
      <c r="N33" s="32">
        <v>6</v>
      </c>
      <c r="O33" s="415" t="s">
        <v>207</v>
      </c>
      <c r="P33" s="394"/>
      <c r="Q33" s="394" t="s">
        <v>208</v>
      </c>
      <c r="R33" s="395"/>
    </row>
    <row r="34" spans="1:18" ht="16.5" customHeight="1" x14ac:dyDescent="0.4">
      <c r="A34" s="39" t="s">
        <v>23</v>
      </c>
      <c r="B34" s="26">
        <v>1</v>
      </c>
      <c r="C34" s="281" t="s">
        <v>30</v>
      </c>
      <c r="D34" s="282"/>
      <c r="E34" s="282"/>
      <c r="F34" s="283"/>
      <c r="G34" s="39" t="s">
        <v>23</v>
      </c>
      <c r="H34" s="26">
        <v>2</v>
      </c>
      <c r="I34" s="412" t="s">
        <v>30</v>
      </c>
      <c r="J34" s="413"/>
      <c r="K34" s="413"/>
      <c r="L34" s="414"/>
      <c r="M34" s="39" t="s">
        <v>23</v>
      </c>
      <c r="N34" s="26">
        <v>1</v>
      </c>
      <c r="O34" s="281" t="s">
        <v>30</v>
      </c>
      <c r="P34" s="282"/>
      <c r="Q34" s="282"/>
      <c r="R34" s="283"/>
    </row>
    <row r="35" spans="1:18" ht="21" customHeight="1" x14ac:dyDescent="0.4">
      <c r="A35" s="40"/>
      <c r="B35" s="29">
        <v>2</v>
      </c>
      <c r="C35" s="380"/>
      <c r="D35" s="381"/>
      <c r="E35" s="381"/>
      <c r="F35" s="382"/>
      <c r="G35" s="40"/>
      <c r="H35" s="29">
        <v>3</v>
      </c>
      <c r="I35" s="128"/>
      <c r="J35" s="129"/>
      <c r="K35" s="129"/>
      <c r="L35" s="130"/>
      <c r="M35" s="40"/>
      <c r="N35" s="29">
        <v>2</v>
      </c>
      <c r="O35" s="128"/>
      <c r="P35" s="129"/>
      <c r="Q35" s="129"/>
      <c r="R35" s="130"/>
    </row>
    <row r="36" spans="1:18" ht="19.5" thickBot="1" x14ac:dyDescent="0.45">
      <c r="A36" s="41"/>
      <c r="B36" s="42"/>
      <c r="C36" s="365"/>
      <c r="D36" s="366"/>
      <c r="E36" s="366"/>
      <c r="F36" s="367"/>
      <c r="G36" s="41"/>
      <c r="H36" s="42"/>
      <c r="I36" s="365"/>
      <c r="J36" s="366"/>
      <c r="K36" s="366"/>
      <c r="L36" s="367"/>
      <c r="M36" s="43"/>
      <c r="N36" s="42"/>
      <c r="O36" s="365"/>
      <c r="P36" s="366"/>
      <c r="Q36" s="366"/>
      <c r="R36" s="367"/>
    </row>
    <row r="37" spans="1:18" x14ac:dyDescent="0.4">
      <c r="B37" s="2" t="s">
        <v>101</v>
      </c>
      <c r="E37" s="2" t="s">
        <v>50</v>
      </c>
      <c r="H37" s="2" t="s">
        <v>101</v>
      </c>
      <c r="K37" s="2" t="s">
        <v>50</v>
      </c>
      <c r="N37" s="2" t="s">
        <v>101</v>
      </c>
      <c r="Q37" s="2" t="s">
        <v>50</v>
      </c>
    </row>
    <row r="38" spans="1:18" x14ac:dyDescent="0.4">
      <c r="B38" s="2" t="s">
        <v>13</v>
      </c>
      <c r="E38" s="2" t="s">
        <v>102</v>
      </c>
      <c r="H38" s="2" t="s">
        <v>13</v>
      </c>
      <c r="K38" s="2" t="s">
        <v>102</v>
      </c>
      <c r="N38" s="2" t="s">
        <v>13</v>
      </c>
      <c r="Q38" s="2" t="s">
        <v>50</v>
      </c>
    </row>
  </sheetData>
  <mergeCells count="79">
    <mergeCell ref="O24:R24"/>
    <mergeCell ref="O19:R19"/>
    <mergeCell ref="O20:R20"/>
    <mergeCell ref="O21:R21"/>
    <mergeCell ref="O22:R22"/>
    <mergeCell ref="O23:R23"/>
    <mergeCell ref="O33:P33"/>
    <mergeCell ref="Q33:R33"/>
    <mergeCell ref="O26:R26"/>
    <mergeCell ref="O30:R30"/>
    <mergeCell ref="O25:R25"/>
    <mergeCell ref="O27:R27"/>
    <mergeCell ref="O28:R28"/>
    <mergeCell ref="O29:R29"/>
    <mergeCell ref="O31:R31"/>
    <mergeCell ref="O32:P32"/>
    <mergeCell ref="Q32:R32"/>
    <mergeCell ref="O36:R36"/>
    <mergeCell ref="O34:R34"/>
    <mergeCell ref="I34:L34"/>
    <mergeCell ref="I35:L35"/>
    <mergeCell ref="I36:L36"/>
    <mergeCell ref="O35:R35"/>
    <mergeCell ref="O12:R12"/>
    <mergeCell ref="O15:R15"/>
    <mergeCell ref="O16:R16"/>
    <mergeCell ref="O17:R17"/>
    <mergeCell ref="O18:R18"/>
    <mergeCell ref="O13:R13"/>
    <mergeCell ref="O14:R14"/>
    <mergeCell ref="C36:F36"/>
    <mergeCell ref="I12:L12"/>
    <mergeCell ref="I15:L15"/>
    <mergeCell ref="I16:L16"/>
    <mergeCell ref="I17:L17"/>
    <mergeCell ref="I18:L18"/>
    <mergeCell ref="C12:F12"/>
    <mergeCell ref="C16:F16"/>
    <mergeCell ref="C19:F19"/>
    <mergeCell ref="C20:F20"/>
    <mergeCell ref="C13:F13"/>
    <mergeCell ref="C21:F21"/>
    <mergeCell ref="C22:F22"/>
    <mergeCell ref="C34:F34"/>
    <mergeCell ref="I13:L13"/>
    <mergeCell ref="I28:L28"/>
    <mergeCell ref="I29:L29"/>
    <mergeCell ref="I21:L21"/>
    <mergeCell ref="I22:L22"/>
    <mergeCell ref="I23:L23"/>
    <mergeCell ref="I25:L25"/>
    <mergeCell ref="I27:L27"/>
    <mergeCell ref="I24:L24"/>
    <mergeCell ref="I26:J26"/>
    <mergeCell ref="K26:L26"/>
    <mergeCell ref="C14:F14"/>
    <mergeCell ref="I14:L14"/>
    <mergeCell ref="C15:F15"/>
    <mergeCell ref="I19:L19"/>
    <mergeCell ref="I20:L20"/>
    <mergeCell ref="C29:F29"/>
    <mergeCell ref="C25:F25"/>
    <mergeCell ref="C17:F17"/>
    <mergeCell ref="C18:F18"/>
    <mergeCell ref="C26:F26"/>
    <mergeCell ref="C27:F27"/>
    <mergeCell ref="C24:F24"/>
    <mergeCell ref="C28:F28"/>
    <mergeCell ref="C23:F23"/>
    <mergeCell ref="C30:F30"/>
    <mergeCell ref="C31:F31"/>
    <mergeCell ref="I32:L32"/>
    <mergeCell ref="C35:F35"/>
    <mergeCell ref="C33:F33"/>
    <mergeCell ref="I33:J33"/>
    <mergeCell ref="K33:L33"/>
    <mergeCell ref="I30:L30"/>
    <mergeCell ref="I31:L31"/>
    <mergeCell ref="C32:F32"/>
  </mergeCells>
  <dataValidations count="3">
    <dataValidation allowBlank="1" showDropDown="1" showInputMessage="1" showErrorMessage="1" sqref="O7 I7 C7"/>
    <dataValidation type="list" allowBlank="1" showInputMessage="1" showErrorMessage="1" sqref="E6 K6 Q6">
      <formula1>"осенний, весенний"</formula1>
    </dataValidation>
    <dataValidation type="list" allowBlank="1" showInputMessage="1" showErrorMessage="1" sqref="C6 I6 O6">
      <formula1>"2025-2026"</formula1>
    </dataValidation>
  </dataValidations>
  <pageMargins left="1.299212598425197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" id="{F1998A6D-7BF4-42D7-A7CE-31F20140B805}">
            <xm:f>IF('1 курс'!$C$9=0,"",'1 курс'!$C$9)</xm:f>
            <x14:dxf/>
          </x14:cfRule>
          <xm:sqref>D9:E10 K10 Q10</xm:sqref>
        </x14:conditionalFormatting>
        <x14:conditionalFormatting xmlns:xm="http://schemas.microsoft.com/office/excel/2006/main">
          <x14:cfRule type="expression" priority="23" id="{66D50AEF-84E6-48C7-AC91-1ACC2812EBF0}">
            <xm:f>IF('1 курс'!$C$9=0,"",'1 курс'!$C$9)</xm:f>
            <x14:dxf/>
          </x14:cfRule>
          <xm:sqref>J9:K9</xm:sqref>
        </x14:conditionalFormatting>
        <x14:conditionalFormatting xmlns:xm="http://schemas.microsoft.com/office/excel/2006/main">
          <x14:cfRule type="expression" priority="22" id="{C1DC6E7B-907E-44EB-B49B-0D0DE91B5DE8}">
            <xm:f>IF('1 курс'!$C$9=0,"",'1 курс'!$C$9)</xm:f>
            <x14:dxf/>
          </x14:cfRule>
          <xm:sqref>P9:Q9</xm:sqref>
        </x14:conditionalFormatting>
        <x14:conditionalFormatting xmlns:xm="http://schemas.microsoft.com/office/excel/2006/main">
          <x14:cfRule type="expression" priority="20" id="{0BC14FE6-D87B-49B0-841A-E764AA9ACEA4}">
            <xm:f>IF('1 курс'!$C$9=0,"",'1 курс'!$C$9)</xm:f>
            <x14:dxf/>
          </x14:cfRule>
          <xm:sqref>O9</xm:sqref>
        </x14:conditionalFormatting>
        <x14:conditionalFormatting xmlns:xm="http://schemas.microsoft.com/office/excel/2006/main">
          <x14:cfRule type="expression" priority="16" id="{5C72F86D-958B-416B-A7FC-A62241D7CFCB}">
            <xm:f>IF('1 курс'!$C$9=0,"",'1 курс'!$C$9)</xm:f>
            <x14:dxf/>
          </x14:cfRule>
          <xm:sqref>C9:C10</xm:sqref>
        </x14:conditionalFormatting>
        <x14:conditionalFormatting xmlns:xm="http://schemas.microsoft.com/office/excel/2006/main">
          <x14:cfRule type="expression" priority="15" id="{604412AB-45EA-4A28-A9C9-7ABFE1A86769}">
            <xm:f>IF('1 курс'!$C$9=0,"",'1 курс'!$C$9)</xm:f>
            <x14:dxf/>
          </x14:cfRule>
          <xm:sqref>I9</xm:sqref>
        </x14:conditionalFormatting>
        <x14:conditionalFormatting xmlns:xm="http://schemas.microsoft.com/office/excel/2006/main">
          <x14:cfRule type="expression" priority="14" id="{9F9D69A3-3481-43D0-886C-27C4AF7A951C}">
            <xm:f>IF('1 курс'!$C$9=0,"",'1 курс'!$C$9)</xm:f>
            <x14:dxf/>
          </x14:cfRule>
          <xm:sqref>J10</xm:sqref>
        </x14:conditionalFormatting>
        <x14:conditionalFormatting xmlns:xm="http://schemas.microsoft.com/office/excel/2006/main">
          <x14:cfRule type="expression" priority="12" id="{B90F50B4-7256-4AFF-B751-B39272F6058A}">
            <xm:f>IF('1 курс'!$C$9=0,"",'1 курс'!$C$9)</xm:f>
            <x14:dxf/>
          </x14:cfRule>
          <xm:sqref>P10</xm:sqref>
        </x14:conditionalFormatting>
        <x14:conditionalFormatting xmlns:xm="http://schemas.microsoft.com/office/excel/2006/main">
          <x14:cfRule type="expression" priority="8" id="{917BFE26-05AC-4616-8ED3-62A61EB558A4}">
            <xm:f>IF('1 курс'!$C$9=0,"",'1 курс'!$C$9)</xm:f>
            <x14:dxf/>
          </x14:cfRule>
          <xm:sqref>L9</xm:sqref>
        </x14:conditionalFormatting>
        <x14:conditionalFormatting xmlns:xm="http://schemas.microsoft.com/office/excel/2006/main">
          <x14:cfRule type="expression" priority="7" id="{EA09FABC-BFF7-4054-B3D6-9C3EAC4C5F50}">
            <xm:f>IF('1 курс'!$C$9=0,"",'1 курс'!$C$9)</xm:f>
            <x14:dxf/>
          </x14:cfRule>
          <xm:sqref>L10</xm:sqref>
        </x14:conditionalFormatting>
        <x14:conditionalFormatting xmlns:xm="http://schemas.microsoft.com/office/excel/2006/main">
          <x14:cfRule type="expression" priority="5" id="{4315A3D5-E455-4738-AA60-0625DDBD3082}">
            <xm:f>IF('1 курс'!$C$9=0,"",'1 курс'!$C$9)</xm:f>
            <x14:dxf/>
          </x14:cfRule>
          <xm:sqref>R9</xm:sqref>
        </x14:conditionalFormatting>
        <x14:conditionalFormatting xmlns:xm="http://schemas.microsoft.com/office/excel/2006/main">
          <x14:cfRule type="expression" priority="4" id="{46221AAB-4896-4A0B-8E47-C7D4E209F2A8}">
            <xm:f>IF('1 курс'!$C$9=0,"",'1 курс'!$C$9)</xm:f>
            <x14:dxf/>
          </x14:cfRule>
          <xm:sqref>R10</xm:sqref>
        </x14:conditionalFormatting>
        <x14:conditionalFormatting xmlns:xm="http://schemas.microsoft.com/office/excel/2006/main">
          <x14:cfRule type="expression" priority="2" id="{8138530B-3AA4-48CE-A645-C61CEA28F72E}">
            <xm:f>IF('1 курс'!$C$9=0,"",'1 курс'!$C$9)</xm:f>
            <x14:dxf/>
          </x14:cfRule>
          <xm:sqref>I10</xm:sqref>
        </x14:conditionalFormatting>
        <x14:conditionalFormatting xmlns:xm="http://schemas.microsoft.com/office/excel/2006/main">
          <x14:cfRule type="expression" priority="1" id="{075FBB4E-8D17-47DC-934D-6BE8B0C345EC}">
            <xm:f>IF('1 курс'!$C$9=0,"",'1 курс'!$C$9)</xm:f>
            <x14:dxf/>
          </x14:cfRule>
          <xm:sqref>O10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2026-01-28T03:09:42Z</dcterms:modified>
</cp:coreProperties>
</file>