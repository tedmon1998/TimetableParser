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905" windowHeight="13155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 refMode="R1C1"/>
</workbook>
</file>

<file path=xl/calcChain.xml><?xml version="1.0" encoding="utf-8"?>
<calcChain xmlns="http://schemas.openxmlformats.org/spreadsheetml/2006/main">
  <c r="Z7" i="27" l="1"/>
  <c r="X8" i="26" l="1"/>
  <c r="Z7" i="26"/>
  <c r="C8" i="28" l="1"/>
  <c r="J7" i="28"/>
  <c r="Q7" i="28" s="1"/>
  <c r="L7" i="27" l="1"/>
  <c r="J7" i="27"/>
  <c r="Q7" i="27" s="1"/>
  <c r="X7" i="27" s="1"/>
  <c r="S7" i="27" l="1"/>
  <c r="S7" i="26"/>
  <c r="L7" i="26"/>
  <c r="E7" i="26"/>
  <c r="J7" i="25" l="1"/>
  <c r="Q7" i="25" s="1"/>
  <c r="L6" i="25"/>
  <c r="C8" i="27"/>
  <c r="L7" i="25"/>
  <c r="S7" i="25" s="1"/>
  <c r="J8" i="25" l="1"/>
  <c r="Q8" i="25" s="1"/>
  <c r="Q8" i="26"/>
  <c r="C8" i="26"/>
  <c r="J8" i="26"/>
  <c r="J8" i="27" l="1"/>
  <c r="Q8" i="27" s="1"/>
  <c r="X8" i="27" s="1"/>
  <c r="J8" i="28"/>
  <c r="Q8" i="28" s="1"/>
</calcChain>
</file>

<file path=xl/sharedStrings.xml><?xml version="1.0" encoding="utf-8"?>
<sst xmlns="http://schemas.openxmlformats.org/spreadsheetml/2006/main" count="1085" uniqueCount="293">
  <si>
    <t>пара</t>
  </si>
  <si>
    <t>Учебный год</t>
  </si>
  <si>
    <t>Семестр</t>
  </si>
  <si>
    <t>Институт</t>
  </si>
  <si>
    <t>государства и права</t>
  </si>
  <si>
    <t>Курс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</si>
  <si>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</si>
  <si>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</si>
  <si>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</si>
  <si>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</si>
  <si>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</si>
  <si>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</si>
  <si>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</si>
  <si>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Зав. кафедрой</t>
  </si>
  <si>
    <t>Преподаватель</t>
  </si>
  <si>
    <t>Направление</t>
  </si>
  <si>
    <t>40.03.01 Юриспруденция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</si>
  <si>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</si>
  <si>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</si>
  <si>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</si>
  <si>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</si>
  <si>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</si>
  <si>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</si>
  <si>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</si>
  <si>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</si>
  <si>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дисциплина, ауд</t>
  </si>
  <si>
    <t>Элективные дисциплины по физической культуре и спорту, С</t>
  </si>
  <si>
    <t>102-23</t>
  </si>
  <si>
    <t>ЭУК</t>
  </si>
  <si>
    <t>Физическая культура и спорт (лек 8 ч)</t>
  </si>
  <si>
    <t>День самостоятельной работы</t>
  </si>
  <si>
    <t>весенний</t>
  </si>
  <si>
    <t xml:space="preserve">ТО: </t>
  </si>
  <si>
    <t>ТО</t>
  </si>
  <si>
    <t>Ходосова Д.А.</t>
  </si>
  <si>
    <t>Кинтюхин А.С.</t>
  </si>
  <si>
    <t>Вариясова Е.В.</t>
  </si>
  <si>
    <t>Гребнева Н.Н.</t>
  </si>
  <si>
    <t>Русский язык и культура речи (лек 32ч)</t>
  </si>
  <si>
    <t>Куприянова Е.В.</t>
  </si>
  <si>
    <t>Усольцева Н.А.</t>
  </si>
  <si>
    <t>Андриенко А.И.</t>
  </si>
  <si>
    <t>Итяшева И.А.</t>
  </si>
  <si>
    <t>Мальцев В.В.</t>
  </si>
  <si>
    <t>Иностранный язык, п/г 1, К710</t>
  </si>
  <si>
    <t>Иностранный язык, п/г 2, К723</t>
  </si>
  <si>
    <t>Философия (лек 32 ч)</t>
  </si>
  <si>
    <t>Работа в команде (лек 32 ч)</t>
  </si>
  <si>
    <t>Муравлянский А.В.</t>
  </si>
  <si>
    <t>Стражевич Ю.Н.</t>
  </si>
  <si>
    <t>Жадобина Н.Н.</t>
  </si>
  <si>
    <t>Уголовное право (лек), К204// Уголовный процесс (лек). К204</t>
  </si>
  <si>
    <t>Усольцев Ю.М.</t>
  </si>
  <si>
    <t>Криминалистика, п/г 1, К630</t>
  </si>
  <si>
    <t>Криминалистика, п/г 2, К630</t>
  </si>
  <si>
    <t>Налбандян Е.Л.</t>
  </si>
  <si>
    <t>Зарипова Э.К.</t>
  </si>
  <si>
    <t>Уголовное право (пр). К628</t>
  </si>
  <si>
    <t>Трудовое право (пр ), К711</t>
  </si>
  <si>
    <t>Филиппова Н.А.</t>
  </si>
  <si>
    <t>Багиров Ч.М.</t>
  </si>
  <si>
    <t>Алиев З.Г.</t>
  </si>
  <si>
    <t>Зорькина А.А.</t>
  </si>
  <si>
    <t xml:space="preserve">Л.А. Попова </t>
  </si>
  <si>
    <t>102-31</t>
  </si>
  <si>
    <t>102-32</t>
  </si>
  <si>
    <t>102-33</t>
  </si>
  <si>
    <t>102-21</t>
  </si>
  <si>
    <t>102-22</t>
  </si>
  <si>
    <t>Белоус П.В.</t>
  </si>
  <si>
    <t>Сташкин П.Р.</t>
  </si>
  <si>
    <t>Психология инклюзивного общества (лекция 16 ч)</t>
  </si>
  <si>
    <t>Усаева Н.Р.</t>
  </si>
  <si>
    <t>Калантарян Г.А.</t>
  </si>
  <si>
    <t>Трудовое право (лек), К204// Гражданский процесс (лек), К204</t>
  </si>
  <si>
    <t>Ельмендеева Л.В.</t>
  </si>
  <si>
    <t>Сазонова М.А.</t>
  </si>
  <si>
    <t>Гражданское право (пр), К711</t>
  </si>
  <si>
    <t>Конституционное право (пр), К703</t>
  </si>
  <si>
    <t>Попова Л.А./Усольцев Ю.М.</t>
  </si>
  <si>
    <t>Уголовный процесс (пр), К628</t>
  </si>
  <si>
    <t>Гражданский процесс (пр), К718</t>
  </si>
  <si>
    <t>Налбандян Е..Л.</t>
  </si>
  <si>
    <t>Теория доказывания (лек), К628</t>
  </si>
  <si>
    <t>102-41</t>
  </si>
  <si>
    <t>102-42</t>
  </si>
  <si>
    <t>102-43</t>
  </si>
  <si>
    <t>Юрист публичного права и управления</t>
  </si>
  <si>
    <t>Юридический консалтинг. Юрист цифровой экономики</t>
  </si>
  <si>
    <t>Юрист общей практики со знанием иностранного языка</t>
  </si>
  <si>
    <t>102-34</t>
  </si>
  <si>
    <t>История России (лекция 32 ч)</t>
  </si>
  <si>
    <t>Ситникова А.Ю.; Костюнина М.В.</t>
  </si>
  <si>
    <t>Владимирова Г.Е.</t>
  </si>
  <si>
    <t>Физическая культура и спорт//Элек. дисциплины по физ. культуре и спорту, С</t>
  </si>
  <si>
    <t>Цифровая грамотность (лек 16 ч)</t>
  </si>
  <si>
    <t>Дроздова А.А.</t>
  </si>
  <si>
    <t>Цифровая грамотность (пр),  К706</t>
  </si>
  <si>
    <t>Иностранный язык, п/г 2, К710</t>
  </si>
  <si>
    <t>Иностранный язык, п/г 1, К723</t>
  </si>
  <si>
    <t>1-2.</t>
  </si>
  <si>
    <t>Элективные дисциплины по физической культуре и спорту, С*</t>
  </si>
  <si>
    <t xml:space="preserve">Примечание: *  </t>
  </si>
  <si>
    <t>Биек А.В.</t>
  </si>
  <si>
    <t>Усольцева Н.А./ Стражевич Ю.Н.</t>
  </si>
  <si>
    <t>Муниципальное право (лек), К204// Административное право (лек), К204</t>
  </si>
  <si>
    <t>Жадобина Н.Н./Нехайчик В.К.</t>
  </si>
  <si>
    <t>Уголовное право (пр), К714</t>
  </si>
  <si>
    <t>Элект. дисциплины по физической культуре и спорту, С*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</si>
  <si>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</si>
  <si>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Криминалистика (лаб), К630</t>
  </si>
  <si>
    <t>Мальцев В.В.; Калантарян Г.А.</t>
  </si>
  <si>
    <t>Калантарян Г.А.; Мальцев В.В.</t>
  </si>
  <si>
    <t>Мальцев В.В.;Калантарян Г.А.</t>
  </si>
  <si>
    <t>Стражевич Ю.Н</t>
  </si>
  <si>
    <t>Экологическое право (пр), К708</t>
  </si>
  <si>
    <t>Трудовое право (пр ), К714</t>
  </si>
  <si>
    <t>Правовые аспекты электронной коммерции (лек), К714</t>
  </si>
  <si>
    <t>Ашарин А.А.</t>
  </si>
  <si>
    <t>Налоговое право (пр), К703</t>
  </si>
  <si>
    <t>Законодательство субъекта федерации (пр), К707</t>
  </si>
  <si>
    <t>Начальник УОпоОФО</t>
  </si>
  <si>
    <t>Законодательство субъекта федерации (лек), К703</t>
  </si>
  <si>
    <t>2025-2026</t>
  </si>
  <si>
    <t>102-51</t>
  </si>
  <si>
    <t>102-52</t>
  </si>
  <si>
    <t>102-53</t>
  </si>
  <si>
    <t>"____"________2026 г.</t>
  </si>
  <si>
    <t xml:space="preserve">Юрист публичного права и управления                                             </t>
  </si>
  <si>
    <t>102-44</t>
  </si>
  <si>
    <t>Директор института</t>
  </si>
  <si>
    <t>Н.Н. Жадобина</t>
  </si>
  <si>
    <t>"____"________2026г.</t>
  </si>
  <si>
    <t>02.02.2026 - 06.06.2026</t>
  </si>
  <si>
    <t>Ситникова А.Ю.; Афян К.А.</t>
  </si>
  <si>
    <t>Гурова Л.Д.</t>
  </si>
  <si>
    <t>Ситникова А.Ю.; Бастинович Е.В.</t>
  </si>
  <si>
    <t>Теория государства и права (лек), К204// История государства и права России (лек), К204</t>
  </si>
  <si>
    <t>Владимирова Г.Е./Власюк Е.И.</t>
  </si>
  <si>
    <t>Конституционное право (лек), К204//</t>
  </si>
  <si>
    <t>Власюк Е.И.</t>
  </si>
  <si>
    <t>Нехайчик В.К.</t>
  </si>
  <si>
    <t>ДВ 01.01: Правовое обеспечение противодействия коррупции (пр), К628 ; ДВ 01.02: Юридическая техника (пр), К710//</t>
  </si>
  <si>
    <t>Гребнева Н.Н., Владимирова Г,В.</t>
  </si>
  <si>
    <t>//ДВ 01.01: Правовое обеспечение противодействия коррупции (пр), К628; ДВ 01.02: Юридическая техника (пр), К710</t>
  </si>
  <si>
    <t>ДВ 01.01: Правовое обеспечение противодействия коррупции (пр), К628; ДВ 01.02: Юридическая техника (пр), К710//</t>
  </si>
  <si>
    <t>Сазонова М.А.,Манин В.А./Нехайчик В.К.</t>
  </si>
  <si>
    <t>Сираканян А.Р./Сазонова М.А.,Манин В.А.</t>
  </si>
  <si>
    <t>Сазонова М.А.,Манин В.А./Сираканян А.Р.</t>
  </si>
  <si>
    <t>Афян Г.А.</t>
  </si>
  <si>
    <t>ДВ 01.01: Правовое обеспечение противодействия коррупции (лек), К628; ДВ 01.02: Юридическая техника (лек), К204// Правовые основы противодействия экстремизму и терроризму (лек), К204</t>
  </si>
  <si>
    <t>Теория государства и права (пр), К708</t>
  </si>
  <si>
    <t>ДВ 02.01: Введение в гражданское право (лек), К201;  ДВ 02.02: Права человека и введение в частное право (лек), К204 //  Административное право (лек), К204</t>
  </si>
  <si>
    <t>Правовые основы противодействия экстремизму и терроризму (пр), К628// ДВ 02.01: Введение в гражданское право (пр), К703                                                 ДВ 02.02: Права человека и введение в частное право (пр), К707</t>
  </si>
  <si>
    <t>ДВ 02.01: Введение в гражданское право (пр), К703                                                 ДВ 02.02: Права человека и введение в частное право (пр), К707// Правовые основы противодействия экстремизму и терроризму (пр), К628</t>
  </si>
  <si>
    <t>Административное право (пр), К711</t>
  </si>
  <si>
    <t>Русский язык и культура речи (пр), К709</t>
  </si>
  <si>
    <t>История государства и права России (пр), К708</t>
  </si>
  <si>
    <t>История России (пр), К709</t>
  </si>
  <si>
    <t>Иностранный язык, п/г 1, К709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</si>
  <si>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</si>
  <si>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</si>
  <si>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Бутенко Н.А.</t>
  </si>
  <si>
    <t>Калинина Е.А.</t>
  </si>
  <si>
    <t>Осипова А.В.</t>
  </si>
  <si>
    <t>Основы проектной деятельности (лек 16 ч)</t>
  </si>
  <si>
    <t>Романков А.Н.</t>
  </si>
  <si>
    <t>Гражданское право (лек), К204//Право социального обеспечения (лек), К204</t>
  </si>
  <si>
    <t>Право социального обеспечения (пр), К711</t>
  </si>
  <si>
    <t>Муниципальное право (пр), К703</t>
  </si>
  <si>
    <t>Манин В.А.</t>
  </si>
  <si>
    <t>Арктическое право (лек)/(пр), К703</t>
  </si>
  <si>
    <t>Филиппова Н.А.,Зарипова Э.К./Зарипова Э.К.</t>
  </si>
  <si>
    <t>Биек А.В./Нехайчик В.К.</t>
  </si>
  <si>
    <t>Шакирова Л.С./Биек А.В.</t>
  </si>
  <si>
    <t>Основы проектной деятельности (пр), К706</t>
  </si>
  <si>
    <t>Правовое обеспечение систем безопасности (лек)/(пр), К711</t>
  </si>
  <si>
    <t>Правовое обеспечение систем безопасности (лек), К711//</t>
  </si>
  <si>
    <t>Правовое обеспечение систем безопасности (пр), К711//</t>
  </si>
  <si>
    <t>Иностранный язык, п/г 2, К718</t>
  </si>
  <si>
    <t>Бастинович Е.В.</t>
  </si>
  <si>
    <t>Афян К.А.</t>
  </si>
  <si>
    <t>Уголовное право (пр), К708</t>
  </si>
  <si>
    <t>Работа в команде (пр), К427//</t>
  </si>
  <si>
    <t xml:space="preserve"> Административное право (пр), К703//</t>
  </si>
  <si>
    <t>//Философия (пр) , К427</t>
  </si>
  <si>
    <t>Философия (пр) , К428//</t>
  </si>
  <si>
    <t>Философия (пр) , К709//</t>
  </si>
  <si>
    <t>//Философия (пр) , К709</t>
  </si>
  <si>
    <t>Основы проектной деятельности (пр), К709</t>
  </si>
  <si>
    <t>Работа в команде (пр), К703// Административное право (пр), К703</t>
  </si>
  <si>
    <t>Работа в команде (пр), К709// Административное право (пр), К703</t>
  </si>
  <si>
    <t>Право социального обеспечения (пр), К714</t>
  </si>
  <si>
    <t>Гражданское право (пр), К718</t>
  </si>
  <si>
    <t>Административное право (пр), К718// Работа в команде (пр), К709</t>
  </si>
  <si>
    <t>Муниципальное право (пр), К718</t>
  </si>
  <si>
    <t>Кислова Н.А.</t>
  </si>
  <si>
    <t>Итяшева И.А./Ельмендеева Л.В.</t>
  </si>
  <si>
    <t>Предпринимательское право (лек), К203// Экологическое право (лек), К203</t>
  </si>
  <si>
    <t>Криминалистика (лек), К204//</t>
  </si>
  <si>
    <t>ФТД: Государственный контроль в сфере нотариата (лек)/(пр), К703</t>
  </si>
  <si>
    <t>Шакирова Л.С.</t>
  </si>
  <si>
    <t>Босык О.И.</t>
  </si>
  <si>
    <t>Уголовное право (лек), К204</t>
  </si>
  <si>
    <t>Гребнева Н.Н</t>
  </si>
  <si>
    <t xml:space="preserve"> ФТД: Нотариат. Электронный нотариат (лек)/(пр), К703</t>
  </si>
  <si>
    <t>Уголовный процесс (пр). К708</t>
  </si>
  <si>
    <t>Иностр. язык в сфере юриспруд.,        п/г 2 (24 ч), К412</t>
  </si>
  <si>
    <t>Иностр. язык в сфере юриспруд,     п/г 1 (24 ч), К412</t>
  </si>
  <si>
    <t>Иностр. язык в сфере юриспруд.,      п/г 2 (24 ч), К412</t>
  </si>
  <si>
    <t>Криминалистика (лек), К204//  ФТД: Введение в англо-американское право (лек), К628</t>
  </si>
  <si>
    <t>Криминалистика (лек), К204// ФТД: Введение в англо-американское право (лек), К628</t>
  </si>
  <si>
    <t>Иностр. язык в сфере юриспруд.,      п/г 2 (24 ч), К710</t>
  </si>
  <si>
    <t>Иностр. язык в сфере юриспруд,        п/г 1 (24 ч), К710</t>
  </si>
  <si>
    <t>Предпринимательское право (пр), К711</t>
  </si>
  <si>
    <t>Трудовое право (пр). К714</t>
  </si>
  <si>
    <t>ФТД: Правовое обеспечение цифровой экономики (лек)/(пр), К714</t>
  </si>
  <si>
    <t>Гражданский процесс (пр), К714</t>
  </si>
  <si>
    <t>ФТД: Медицинское право (лек)/(пр), К710</t>
  </si>
  <si>
    <t>Экологическое право (пр), К718</t>
  </si>
  <si>
    <t>Экологическое право (пр), К628</t>
  </si>
  <si>
    <t>Предпринимательское право (пр), К723</t>
  </si>
  <si>
    <t>Гражданский процесс (пр), К708</t>
  </si>
  <si>
    <t>Миграционное право (лек)/(пр), К708</t>
  </si>
  <si>
    <t>Исполнительное производство (пр), К709</t>
  </si>
  <si>
    <t>//Правовое обеспечение предварительного расследования (лек), К628</t>
  </si>
  <si>
    <t>ФТД: Судебные медицина и психиатрия (лек)/(пр), К628</t>
  </si>
  <si>
    <t>ФТД: Судебные медицина и психиатрия (лек), К628//</t>
  </si>
  <si>
    <t>// Правовое обеспечение предварительного расследования (лек), К628</t>
  </si>
  <si>
    <t>Мальцев В.В./Батыршина К.Г</t>
  </si>
  <si>
    <t>ФТД: Введение в англо-американское право (пр), К628//</t>
  </si>
  <si>
    <t>Психология инклюзивного общества (пр ), К718// ФТД: Судебные медицина и психиатрия (пр), К628</t>
  </si>
  <si>
    <t>ФТД: Введение в англо-американское право (пр), К628// Психология инклюзивного общества (пр ), К718</t>
  </si>
  <si>
    <t>Правовое обеспечение предварительного расследования (пр), К718</t>
  </si>
  <si>
    <t>Административный процесс (лек), К709</t>
  </si>
  <si>
    <t>Административный процесс (пр), К709</t>
  </si>
  <si>
    <t>Налоговое право (лек), К202</t>
  </si>
  <si>
    <t>Административный процесс (лек), К710</t>
  </si>
  <si>
    <t>Административный процесс (пр), К710</t>
  </si>
  <si>
    <t>ФТД: Конституционное право государств Евразии (лек), К709</t>
  </si>
  <si>
    <t>Банковское право (лек), К426</t>
  </si>
  <si>
    <t>Банковское право (пр), К426</t>
  </si>
  <si>
    <t>Иностранный язык в сфере юриспруденции (пр), К413</t>
  </si>
  <si>
    <t>Иностр. язык в сфере юриспруд, п/г 1, К413</t>
  </si>
  <si>
    <t>ФТД: Конституционное право государств Евразии(лек), К709</t>
  </si>
  <si>
    <t>Законодательство субъекта федерации (лек), К709</t>
  </si>
  <si>
    <t>ФТД: Конституционное право государств Евразии (пр), К707</t>
  </si>
  <si>
    <t>Правовое регулирование банкротства (лек), К711</t>
  </si>
  <si>
    <t>Правовое регулирование банкротства (пр), К711</t>
  </si>
  <si>
    <t>Жилищное право (лек), К714</t>
  </si>
  <si>
    <t>Жилищное право (пр), К714</t>
  </si>
  <si>
    <t>Жилищное право (лек), К710</t>
  </si>
  <si>
    <t>Жилищное право (пр), К710</t>
  </si>
  <si>
    <t>Особенности рассмотрения отдельных категорий дел (лек), К714</t>
  </si>
  <si>
    <t>Особенности рассмотрения отдельных категорий дел (пр), К714</t>
  </si>
  <si>
    <t>Иностр. язык в сфере юриспруд, п/г 2, К710</t>
  </si>
  <si>
    <t>Иностр. язык в сфере юриспруд, п/г 1, К710//</t>
  </si>
  <si>
    <t>//Иностр. язык в сфере юриспруд, п/г 2, К710</t>
  </si>
  <si>
    <t>Исполнение судебных решений (лек), К714</t>
  </si>
  <si>
    <t>Исполнение судебных решений (пр), К714</t>
  </si>
  <si>
    <t>ФТД: Основы оперативно-розыскной, частно-детективной и частной охранной деятельности (лек), К709</t>
  </si>
  <si>
    <t>ФТД: Основы оперативно-розыскной, частно-детективной и частной охранной деятельности (пр), К709</t>
  </si>
  <si>
    <t>Теория доказывания (пр), К709</t>
  </si>
  <si>
    <t>Юридический консалтинг (лек), К428</t>
  </si>
  <si>
    <t>Юридический консалтинг (пр), К428</t>
  </si>
  <si>
    <t>Исполнение судебных решений (пр), К628</t>
  </si>
  <si>
    <t>Налоговое право (пр), К628</t>
  </si>
  <si>
    <t>Уголовное право (пр),  К711</t>
  </si>
  <si>
    <t>Ситникова А.Ю.</t>
  </si>
  <si>
    <t>Костюнина М.В.</t>
  </si>
  <si>
    <t>Курц М.А.</t>
  </si>
  <si>
    <t>Иностр. язык в сфере юриспруд,     п/г 1 (24 ч), К413</t>
  </si>
  <si>
    <t>Гребнева Н.Н., Владимирова Г.Е./Сираканян А.Р.</t>
  </si>
  <si>
    <t>Гребнева Н.Н., Владимирова Г,Е.</t>
  </si>
  <si>
    <t>Иностранный язык в сфере юриспруденции (24 ч), К723</t>
  </si>
  <si>
    <t>Правовые аспекты электронной коммерции (лек), К710</t>
  </si>
  <si>
    <t>Правовые аспекты электронной коммерции (пр), К710</t>
  </si>
  <si>
    <t>Батыршина К.Г./Зорькина А.А.</t>
  </si>
  <si>
    <t>Правовые аспекты электронной коммерции (пр), К723</t>
  </si>
  <si>
    <t>//Миграционное право (пр), К708</t>
  </si>
  <si>
    <t>Куприянова Е.В., Нехайчик В.К.</t>
  </si>
  <si>
    <t>Батыршина К.Г.</t>
  </si>
  <si>
    <t>Психология инклюзивного общества (пр ), К718//</t>
  </si>
  <si>
    <t>Батыршина К.Г</t>
  </si>
  <si>
    <t>Криминалистика (лек), К204// Психология инклюзивного общества (пр ), К718</t>
  </si>
  <si>
    <t>Мальцев В.В</t>
  </si>
  <si>
    <t>.Гребнева Н.Н.</t>
  </si>
  <si>
    <t>Теория доказывания (пр), К628</t>
  </si>
  <si>
    <t>Страхование в предпринимательской деятельности (лек)/(пр), К714</t>
  </si>
  <si>
    <t xml:space="preserve">Исполнительное производство (лек), К709// </t>
  </si>
  <si>
    <t>Основы проектной деятельности (пр), К608</t>
  </si>
  <si>
    <t>Русский язык и культура речи (пр), К413</t>
  </si>
  <si>
    <t>02.02.2026 - 08.04.2026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</si>
</sst>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color rgb="FF006100"/>
      <name val="Open Sans"/>
      <charset val="204"/>
    </font>
    <font>
      <sz val="8"/>
      <name val="Open Sans"/>
      <charset val="204"/>
    </font>
    <font>
      <sz val="8"/>
      <color theme="1"/>
      <name val="Open Sans"/>
      <charset val="204"/>
    </font>
    <font>
      <sz val="11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  <bgColor rgb="FFFFFFFF"/>
      </patternFill>
    </fill>
    <fill>
      <patternFill patternType="solid">
        <fgColor theme="0" tint="-0.34998626667073579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446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wrapText="1"/>
    </xf>
    <xf numFmtId="0" fontId="6" fillId="0" borderId="17" xfId="0" applyFont="1" applyBorder="1" applyAlignment="1">
      <alignment horizontal="center" wrapText="1"/>
    </xf>
    <xf numFmtId="0" fontId="6" fillId="0" borderId="18" xfId="0" applyFont="1" applyBorder="1" applyAlignment="1">
      <alignment horizontal="center"/>
    </xf>
    <xf numFmtId="0" fontId="6" fillId="0" borderId="17" xfId="0" applyFont="1" applyBorder="1" applyAlignment="1">
      <alignment horizontal="centerContinuous"/>
    </xf>
    <xf numFmtId="0" fontId="5" fillId="0" borderId="18" xfId="0" applyFont="1" applyBorder="1" applyAlignment="1">
      <alignment horizontal="centerContinuous"/>
    </xf>
    <xf numFmtId="0" fontId="5" fillId="0" borderId="20" xfId="0" applyFont="1" applyBorder="1" applyAlignment="1">
      <alignment horizontal="centerContinuous"/>
    </xf>
    <xf numFmtId="0" fontId="6" fillId="4" borderId="11" xfId="0" applyFont="1" applyFill="1" applyBorder="1" applyAlignment="1">
      <alignment horizontal="centerContinuous"/>
    </xf>
    <xf numFmtId="0" fontId="5" fillId="0" borderId="19" xfId="0" applyFont="1" applyBorder="1" applyAlignment="1">
      <alignment horizontal="centerContinuous"/>
    </xf>
    <xf numFmtId="0" fontId="9" fillId="3" borderId="21" xfId="2" applyFont="1" applyBorder="1" applyAlignment="1">
      <alignment horizontal="left" vertical="top"/>
    </xf>
    <xf numFmtId="0" fontId="10" fillId="0" borderId="15" xfId="0" applyFont="1" applyBorder="1" applyAlignment="1">
      <alignment horizontal="center"/>
    </xf>
    <xf numFmtId="0" fontId="11" fillId="0" borderId="12" xfId="0" applyFont="1" applyBorder="1"/>
    <xf numFmtId="0" fontId="9" fillId="0" borderId="4" xfId="0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11" fillId="0" borderId="13" xfId="0" applyFont="1" applyBorder="1"/>
    <xf numFmtId="0" fontId="9" fillId="0" borderId="5" xfId="0" applyFont="1" applyBorder="1" applyAlignment="1">
      <alignment horizontal="left" vertical="top" textRotation="255"/>
    </xf>
    <xf numFmtId="0" fontId="10" fillId="0" borderId="8" xfId="0" applyFont="1" applyBorder="1" applyAlignment="1">
      <alignment horizontal="center"/>
    </xf>
    <xf numFmtId="0" fontId="11" fillId="0" borderId="14" xfId="0" applyFont="1" applyBorder="1"/>
    <xf numFmtId="0" fontId="9" fillId="3" borderId="2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5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5" xfId="0" applyFont="1" applyBorder="1" applyAlignment="1">
      <alignment horizontal="left" vertical="top"/>
    </xf>
    <xf numFmtId="0" fontId="9" fillId="3" borderId="21" xfId="2" applyFont="1" applyBorder="1"/>
    <xf numFmtId="0" fontId="11" fillId="0" borderId="25" xfId="0" applyFont="1" applyBorder="1"/>
    <xf numFmtId="0" fontId="10" fillId="0" borderId="4" xfId="0" applyFont="1" applyBorder="1"/>
    <xf numFmtId="0" fontId="5" fillId="0" borderId="5" xfId="0" applyFont="1" applyBorder="1"/>
    <xf numFmtId="0" fontId="5" fillId="0" borderId="8" xfId="0" applyFont="1" applyBorder="1" applyAlignment="1">
      <alignment horizontal="center"/>
    </xf>
    <xf numFmtId="0" fontId="5" fillId="0" borderId="5" xfId="0" applyFont="1" applyBorder="1"/>
    <xf numFmtId="0" fontId="10" fillId="0" borderId="5" xfId="0" applyFont="1" applyBorder="1"/>
    <xf numFmtId="0" fontId="8" fillId="5" borderId="0" xfId="1" applyFont="1" applyFill="1" applyBorder="1" applyAlignment="1"/>
    <xf numFmtId="0" fontId="8" fillId="2" borderId="0" xfId="1" applyFont="1" applyAlignment="1">
      <alignment horizontal="centerContinuous" wrapText="1"/>
    </xf>
    <xf numFmtId="0" fontId="12" fillId="2" borderId="0" xfId="1" applyFont="1"/>
    <xf numFmtId="0" fontId="8" fillId="2" borderId="0" xfId="1" applyFont="1" applyAlignment="1">
      <alignment horizontal="centerContinuous"/>
    </xf>
    <xf numFmtId="0" fontId="12" fillId="2" borderId="0" xfId="1" applyFont="1" applyAlignment="1">
      <alignment horizontal="centerContinuous"/>
    </xf>
    <xf numFmtId="0" fontId="11" fillId="0" borderId="38" xfId="0" applyFont="1" applyBorder="1"/>
    <xf numFmtId="0" fontId="9" fillId="3" borderId="27" xfId="2" applyFont="1" applyBorder="1" applyAlignment="1">
      <alignment horizontal="left" vertical="top"/>
    </xf>
    <xf numFmtId="0" fontId="10" fillId="0" borderId="27" xfId="0" applyFont="1" applyBorder="1" applyAlignment="1">
      <alignment horizontal="center"/>
    </xf>
    <xf numFmtId="0" fontId="9" fillId="0" borderId="33" xfId="0" applyFont="1" applyBorder="1" applyAlignment="1">
      <alignment horizontal="left" vertical="top"/>
    </xf>
    <xf numFmtId="0" fontId="10" fillId="0" borderId="33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9" fillId="0" borderId="26" xfId="0" applyFont="1" applyBorder="1" applyAlignment="1">
      <alignment horizontal="left" vertical="top"/>
    </xf>
    <xf numFmtId="0" fontId="10" fillId="0" borderId="16" xfId="0" applyFont="1" applyBorder="1" applyAlignment="1">
      <alignment horizontal="center"/>
    </xf>
    <xf numFmtId="0" fontId="10" fillId="0" borderId="26" xfId="0" applyFont="1" applyBorder="1" applyAlignment="1">
      <alignment horizontal="left" vertical="top"/>
    </xf>
    <xf numFmtId="0" fontId="9" fillId="3" borderId="2" xfId="2" applyFont="1" applyBorder="1"/>
    <xf numFmtId="0" fontId="10" fillId="0" borderId="33" xfId="0" applyFont="1" applyBorder="1"/>
    <xf numFmtId="0" fontId="10" fillId="0" borderId="26" xfId="0" applyFont="1" applyBorder="1"/>
    <xf numFmtId="0" fontId="10" fillId="6" borderId="36" xfId="0" applyFont="1" applyFill="1" applyBorder="1"/>
    <xf numFmtId="0" fontId="10" fillId="6" borderId="37" xfId="0" applyFont="1" applyFill="1" applyBorder="1" applyAlignment="1">
      <alignment horizontal="center"/>
    </xf>
    <xf numFmtId="0" fontId="10" fillId="6" borderId="47" xfId="0" applyFont="1" applyFill="1" applyBorder="1"/>
    <xf numFmtId="0" fontId="10" fillId="6" borderId="0" xfId="0" applyFont="1" applyFill="1" applyBorder="1" applyAlignment="1">
      <alignment horizontal="center"/>
    </xf>
    <xf numFmtId="0" fontId="5" fillId="6" borderId="0" xfId="0" applyFont="1" applyFill="1"/>
    <xf numFmtId="0" fontId="10" fillId="0" borderId="2" xfId="0" applyFont="1" applyBorder="1"/>
    <xf numFmtId="0" fontId="5" fillId="0" borderId="7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7" fillId="0" borderId="0" xfId="0" applyFont="1" applyAlignment="1">
      <alignment vertical="top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17" xfId="0" applyFont="1" applyBorder="1"/>
    <xf numFmtId="0" fontId="5" fillId="0" borderId="18" xfId="0" applyFont="1" applyBorder="1" applyAlignment="1">
      <alignment horizontal="center"/>
    </xf>
    <xf numFmtId="0" fontId="9" fillId="3" borderId="28" xfId="2" applyFont="1" applyBorder="1" applyAlignment="1">
      <alignment horizontal="left" vertical="top"/>
    </xf>
    <xf numFmtId="0" fontId="10" fillId="0" borderId="34" xfId="0" applyFont="1" applyBorder="1" applyAlignment="1">
      <alignment horizontal="left" vertical="top"/>
    </xf>
    <xf numFmtId="0" fontId="10" fillId="0" borderId="31" xfId="0" applyFont="1" applyBorder="1" applyAlignment="1">
      <alignment horizontal="left" vertical="top"/>
    </xf>
    <xf numFmtId="0" fontId="10" fillId="0" borderId="8" xfId="0" applyFont="1" applyBorder="1" applyAlignment="1">
      <alignment horizontal="center" vertical="center"/>
    </xf>
    <xf numFmtId="0" fontId="11" fillId="6" borderId="35" xfId="0" applyFont="1" applyFill="1" applyBorder="1"/>
    <xf numFmtId="0" fontId="11" fillId="0" borderId="14" xfId="0" applyFont="1" applyBorder="1" applyAlignment="1">
      <alignment vertical="center"/>
    </xf>
    <xf numFmtId="0" fontId="11" fillId="0" borderId="0" xfId="0" applyFont="1" applyBorder="1"/>
    <xf numFmtId="0" fontId="10" fillId="0" borderId="6" xfId="0" applyFont="1" applyBorder="1" applyAlignment="1">
      <alignment horizontal="center" vertical="center"/>
    </xf>
    <xf numFmtId="0" fontId="10" fillId="0" borderId="53" xfId="0" applyFont="1" applyBorder="1" applyAlignment="1">
      <alignment horizontal="center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9" fillId="0" borderId="30" xfId="0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9" fillId="3" borderId="55" xfId="2" applyFont="1" applyBorder="1" applyAlignment="1">
      <alignment horizontal="left" vertical="top"/>
    </xf>
    <xf numFmtId="0" fontId="9" fillId="0" borderId="49" xfId="0" applyFont="1" applyBorder="1" applyAlignment="1">
      <alignment horizontal="left" vertical="top"/>
    </xf>
    <xf numFmtId="0" fontId="9" fillId="0" borderId="56" xfId="0" applyFont="1" applyBorder="1" applyAlignment="1">
      <alignment horizontal="left" vertical="top" textRotation="255"/>
    </xf>
    <xf numFmtId="0" fontId="6" fillId="0" borderId="57" xfId="0" applyFont="1" applyBorder="1" applyAlignment="1">
      <alignment horizontal="centerContinuous"/>
    </xf>
    <xf numFmtId="0" fontId="5" fillId="0" borderId="58" xfId="0" applyFont="1" applyBorder="1" applyAlignment="1">
      <alignment horizontal="centerContinuous"/>
    </xf>
    <xf numFmtId="0" fontId="5" fillId="0" borderId="59" xfId="0" applyFont="1" applyBorder="1" applyAlignment="1">
      <alignment horizontal="centerContinuous"/>
    </xf>
    <xf numFmtId="0" fontId="5" fillId="0" borderId="60" xfId="0" applyFont="1" applyBorder="1" applyAlignment="1">
      <alignment horizontal="centerContinuous"/>
    </xf>
    <xf numFmtId="0" fontId="10" fillId="6" borderId="61" xfId="0" applyFont="1" applyFill="1" applyBorder="1"/>
    <xf numFmtId="0" fontId="10" fillId="6" borderId="62" xfId="0" applyFont="1" applyFill="1" applyBorder="1" applyAlignment="1">
      <alignment horizontal="center"/>
    </xf>
    <xf numFmtId="0" fontId="11" fillId="6" borderId="63" xfId="0" applyFont="1" applyFill="1" applyBorder="1"/>
    <xf numFmtId="0" fontId="11" fillId="6" borderId="46" xfId="0" applyFont="1" applyFill="1" applyBorder="1"/>
    <xf numFmtId="0" fontId="11" fillId="6" borderId="64" xfId="0" applyFont="1" applyFill="1" applyBorder="1"/>
    <xf numFmtId="0" fontId="9" fillId="3" borderId="27" xfId="2" applyFont="1" applyBorder="1"/>
    <xf numFmtId="0" fontId="10" fillId="0" borderId="30" xfId="0" applyFont="1" applyBorder="1"/>
    <xf numFmtId="0" fontId="10" fillId="6" borderId="21" xfId="0" applyFont="1" applyFill="1" applyBorder="1"/>
    <xf numFmtId="0" fontId="10" fillId="6" borderId="15" xfId="0" applyFont="1" applyFill="1" applyBorder="1" applyAlignment="1">
      <alignment horizontal="center"/>
    </xf>
    <xf numFmtId="0" fontId="11" fillId="0" borderId="29" xfId="0" applyFont="1" applyBorder="1"/>
    <xf numFmtId="0" fontId="11" fillId="0" borderId="39" xfId="0" applyFont="1" applyBorder="1"/>
    <xf numFmtId="0" fontId="11" fillId="6" borderId="43" xfId="0" applyFont="1" applyFill="1" applyBorder="1"/>
    <xf numFmtId="0" fontId="11" fillId="6" borderId="44" xfId="0" applyFont="1" applyFill="1" applyBorder="1"/>
    <xf numFmtId="0" fontId="11" fillId="6" borderId="39" xfId="0" applyFont="1" applyFill="1" applyBorder="1"/>
    <xf numFmtId="0" fontId="11" fillId="0" borderId="35" xfId="0" applyFont="1" applyBorder="1"/>
    <xf numFmtId="0" fontId="11" fillId="0" borderId="32" xfId="0" applyFont="1" applyBorder="1"/>
    <xf numFmtId="0" fontId="11" fillId="0" borderId="41" xfId="0" applyFont="1" applyBorder="1"/>
    <xf numFmtId="0" fontId="11" fillId="6" borderId="47" xfId="0" applyFont="1" applyFill="1" applyBorder="1"/>
    <xf numFmtId="0" fontId="11" fillId="6" borderId="0" xfId="0" applyFont="1" applyFill="1" applyBorder="1"/>
    <xf numFmtId="0" fontId="11" fillId="6" borderId="48" xfId="0" applyFont="1" applyFill="1" applyBorder="1"/>
    <xf numFmtId="0" fontId="11" fillId="6" borderId="47" xfId="0" applyFont="1" applyFill="1" applyBorder="1" applyAlignment="1">
      <alignment wrapText="1"/>
    </xf>
    <xf numFmtId="0" fontId="11" fillId="6" borderId="0" xfId="0" applyFont="1" applyFill="1" applyBorder="1" applyAlignment="1">
      <alignment wrapText="1"/>
    </xf>
    <xf numFmtId="0" fontId="11" fillId="6" borderId="48" xfId="0" applyFont="1" applyFill="1" applyBorder="1" applyAlignment="1">
      <alignment wrapText="1"/>
    </xf>
    <xf numFmtId="0" fontId="11" fillId="0" borderId="38" xfId="0" applyFont="1" applyBorder="1" applyAlignment="1">
      <alignment vertical="center"/>
    </xf>
    <xf numFmtId="0" fontId="15" fillId="0" borderId="13" xfId="0" applyFont="1" applyBorder="1"/>
    <xf numFmtId="0" fontId="15" fillId="0" borderId="35" xfId="0" applyFont="1" applyBorder="1"/>
    <xf numFmtId="0" fontId="15" fillId="0" borderId="41" xfId="0" applyFont="1" applyBorder="1"/>
    <xf numFmtId="0" fontId="15" fillId="0" borderId="29" xfId="0" applyFont="1" applyBorder="1"/>
    <xf numFmtId="0" fontId="15" fillId="0" borderId="14" xfId="0" applyFont="1" applyBorder="1"/>
    <xf numFmtId="0" fontId="15" fillId="0" borderId="39" xfId="0" applyFont="1" applyBorder="1"/>
    <xf numFmtId="0" fontId="11" fillId="0" borderId="35" xfId="0" applyFont="1" applyBorder="1"/>
    <xf numFmtId="0" fontId="11" fillId="0" borderId="32" xfId="0" applyFont="1" applyBorder="1"/>
    <xf numFmtId="0" fontId="15" fillId="0" borderId="12" xfId="0" applyFont="1" applyBorder="1"/>
    <xf numFmtId="0" fontId="15" fillId="0" borderId="38" xfId="0" applyFont="1" applyBorder="1"/>
    <xf numFmtId="0" fontId="11" fillId="0" borderId="35" xfId="0" applyFont="1" applyBorder="1"/>
    <xf numFmtId="0" fontId="11" fillId="0" borderId="32" xfId="0" applyFont="1" applyBorder="1"/>
    <xf numFmtId="0" fontId="15" fillId="0" borderId="25" xfId="0" applyFont="1" applyBorder="1"/>
    <xf numFmtId="0" fontId="15" fillId="0" borderId="32" xfId="0" applyFont="1" applyBorder="1" applyAlignment="1">
      <alignment vertical="center"/>
    </xf>
    <xf numFmtId="0" fontId="15" fillId="0" borderId="35" xfId="0" applyFont="1" applyBorder="1"/>
    <xf numFmtId="0" fontId="15" fillId="0" borderId="32" xfId="0" applyFont="1" applyBorder="1"/>
    <xf numFmtId="0" fontId="15" fillId="0" borderId="0" xfId="0" applyFont="1"/>
    <xf numFmtId="0" fontId="15" fillId="0" borderId="33" xfId="0" applyFont="1" applyFill="1" applyBorder="1"/>
    <xf numFmtId="0" fontId="15" fillId="0" borderId="34" xfId="0" applyFont="1" applyFill="1" applyBorder="1"/>
    <xf numFmtId="0" fontId="15" fillId="0" borderId="35" xfId="0" applyFont="1" applyFill="1" applyBorder="1"/>
    <xf numFmtId="0" fontId="15" fillId="0" borderId="29" xfId="0" applyFont="1" applyBorder="1"/>
    <xf numFmtId="0" fontId="15" fillId="0" borderId="52" xfId="0" applyFont="1" applyBorder="1"/>
    <xf numFmtId="0" fontId="15" fillId="0" borderId="14" xfId="0" applyFont="1" applyBorder="1" applyAlignment="1">
      <alignment vertical="center"/>
    </xf>
    <xf numFmtId="0" fontId="15" fillId="0" borderId="5" xfId="0" applyFont="1" applyFill="1" applyBorder="1"/>
    <xf numFmtId="0" fontId="15" fillId="0" borderId="6" xfId="0" applyFont="1" applyFill="1" applyBorder="1"/>
    <xf numFmtId="0" fontId="15" fillId="0" borderId="24" xfId="0" applyFont="1" applyFill="1" applyBorder="1"/>
    <xf numFmtId="0" fontId="15" fillId="0" borderId="35" xfId="0" applyFont="1" applyBorder="1"/>
    <xf numFmtId="0" fontId="11" fillId="0" borderId="32" xfId="0" applyFont="1" applyBorder="1"/>
    <xf numFmtId="0" fontId="15" fillId="0" borderId="35" xfId="0" applyFont="1" applyBorder="1"/>
    <xf numFmtId="0" fontId="15" fillId="0" borderId="35" xfId="0" applyFont="1" applyBorder="1"/>
    <xf numFmtId="0" fontId="15" fillId="0" borderId="29" xfId="0" applyFont="1" applyBorder="1"/>
    <xf numFmtId="0" fontId="11" fillId="6" borderId="39" xfId="0" applyFont="1" applyFill="1" applyBorder="1"/>
    <xf numFmtId="0" fontId="11" fillId="0" borderId="32" xfId="0" applyFont="1" applyBorder="1"/>
    <xf numFmtId="0" fontId="15" fillId="0" borderId="39" xfId="0" applyFont="1" applyBorder="1"/>
    <xf numFmtId="0" fontId="15" fillId="0" borderId="35" xfId="0" applyFont="1" applyBorder="1"/>
    <xf numFmtId="0" fontId="15" fillId="0" borderId="6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5" fillId="0" borderId="3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33" xfId="0" applyFont="1" applyFill="1" applyBorder="1" applyAlignment="1">
      <alignment wrapText="1"/>
    </xf>
    <xf numFmtId="0" fontId="15" fillId="0" borderId="34" xfId="0" applyFont="1" applyFill="1" applyBorder="1" applyAlignment="1">
      <alignment wrapText="1"/>
    </xf>
    <xf numFmtId="0" fontId="15" fillId="0" borderId="35" xfId="0" applyFont="1" applyFill="1" applyBorder="1" applyAlignment="1">
      <alignment wrapText="1"/>
    </xf>
    <xf numFmtId="0" fontId="15" fillId="0" borderId="21" xfId="0" applyFont="1" applyFill="1" applyBorder="1" applyAlignment="1">
      <alignment wrapText="1"/>
    </xf>
    <xf numFmtId="0" fontId="15" fillId="0" borderId="10" xfId="0" applyFont="1" applyFill="1" applyBorder="1" applyAlignment="1">
      <alignment wrapText="1"/>
    </xf>
    <xf numFmtId="0" fontId="15" fillId="0" borderId="45" xfId="0" applyFont="1" applyFill="1" applyBorder="1" applyAlignment="1">
      <alignment wrapText="1"/>
    </xf>
    <xf numFmtId="0" fontId="15" fillId="0" borderId="43" xfId="0" applyFont="1" applyFill="1" applyBorder="1" applyAlignment="1">
      <alignment wrapText="1"/>
    </xf>
    <xf numFmtId="0" fontId="15" fillId="0" borderId="44" xfId="0" applyFont="1" applyFill="1" applyBorder="1" applyAlignment="1">
      <alignment wrapText="1"/>
    </xf>
    <xf numFmtId="0" fontId="15" fillId="0" borderId="39" xfId="0" applyFont="1" applyFill="1" applyBorder="1" applyAlignment="1">
      <alignment wrapText="1"/>
    </xf>
    <xf numFmtId="0" fontId="15" fillId="0" borderId="6" xfId="0" applyFont="1" applyBorder="1" applyAlignment="1">
      <alignment horizontal="left" wrapText="1"/>
    </xf>
    <xf numFmtId="0" fontId="15" fillId="0" borderId="24" xfId="0" applyFont="1" applyBorder="1" applyAlignment="1">
      <alignment horizontal="left" wrapText="1"/>
    </xf>
    <xf numFmtId="0" fontId="15" fillId="0" borderId="5" xfId="0" applyFont="1" applyBorder="1" applyAlignment="1">
      <alignment horizontal="left" wrapText="1"/>
    </xf>
    <xf numFmtId="0" fontId="15" fillId="0" borderId="26" xfId="0" applyFont="1" applyBorder="1" applyAlignment="1">
      <alignment horizontal="left" wrapText="1"/>
    </xf>
    <xf numFmtId="0" fontId="15" fillId="0" borderId="53" xfId="0" applyFont="1" applyBorder="1" applyAlignment="1">
      <alignment horizontal="left" wrapText="1"/>
    </xf>
    <xf numFmtId="0" fontId="11" fillId="0" borderId="53" xfId="0" applyFont="1" applyBorder="1" applyAlignment="1">
      <alignment horizontal="left" wrapText="1"/>
    </xf>
    <xf numFmtId="0" fontId="11" fillId="0" borderId="65" xfId="0" applyFont="1" applyBorder="1" applyAlignment="1">
      <alignment horizontal="left" wrapText="1"/>
    </xf>
    <xf numFmtId="0" fontId="11" fillId="0" borderId="26" xfId="0" applyFont="1" applyBorder="1" applyAlignment="1">
      <alignment vertical="center" wrapText="1"/>
    </xf>
    <xf numFmtId="0" fontId="11" fillId="0" borderId="53" xfId="0" applyFont="1" applyBorder="1" applyAlignment="1">
      <alignment vertical="center" wrapText="1"/>
    </xf>
    <xf numFmtId="0" fontId="11" fillId="0" borderId="65" xfId="0" applyFont="1" applyBorder="1" applyAlignment="1">
      <alignment vertical="center" wrapText="1"/>
    </xf>
    <xf numFmtId="0" fontId="15" fillId="0" borderId="33" xfId="0" applyFont="1" applyBorder="1" applyAlignment="1">
      <alignment wrapText="1"/>
    </xf>
    <xf numFmtId="0" fontId="15" fillId="0" borderId="34" xfId="0" applyFont="1" applyBorder="1" applyAlignment="1">
      <alignment wrapText="1"/>
    </xf>
    <xf numFmtId="0" fontId="15" fillId="0" borderId="35" xfId="0" applyFont="1" applyBorder="1" applyAlignment="1">
      <alignment wrapText="1"/>
    </xf>
    <xf numFmtId="0" fontId="15" fillId="0" borderId="4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22" xfId="0" applyFont="1" applyFill="1" applyBorder="1" applyAlignment="1">
      <alignment horizontal="left" wrapText="1"/>
    </xf>
    <xf numFmtId="0" fontId="11" fillId="0" borderId="42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5" fillId="0" borderId="26" xfId="0" applyFont="1" applyFill="1" applyBorder="1" applyAlignment="1">
      <alignment horizontal="left" wrapText="1"/>
    </xf>
    <xf numFmtId="0" fontId="15" fillId="0" borderId="53" xfId="0" applyFont="1" applyFill="1" applyBorder="1" applyAlignment="1">
      <alignment horizontal="left" wrapText="1"/>
    </xf>
    <xf numFmtId="0" fontId="15" fillId="0" borderId="65" xfId="0" applyFont="1" applyFill="1" applyBorder="1" applyAlignment="1">
      <alignment horizontal="left" wrapText="1"/>
    </xf>
    <xf numFmtId="0" fontId="15" fillId="0" borderId="33" xfId="0" applyFont="1" applyFill="1" applyBorder="1" applyAlignment="1">
      <alignment horizontal="left" wrapText="1"/>
    </xf>
    <xf numFmtId="0" fontId="15" fillId="0" borderId="34" xfId="0" applyFont="1" applyFill="1" applyBorder="1" applyAlignment="1">
      <alignment horizontal="left" wrapText="1"/>
    </xf>
    <xf numFmtId="0" fontId="15" fillId="0" borderId="35" xfId="0" applyFont="1" applyFill="1" applyBorder="1" applyAlignment="1">
      <alignment horizontal="left" wrapText="1"/>
    </xf>
    <xf numFmtId="0" fontId="15" fillId="0" borderId="49" xfId="0" applyFont="1" applyBorder="1" applyAlignment="1">
      <alignment wrapText="1"/>
    </xf>
    <xf numFmtId="0" fontId="11" fillId="0" borderId="7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8" fillId="2" borderId="46" xfId="1" applyFont="1" applyBorder="1" applyAlignment="1">
      <alignment horizontal="left" wrapText="1"/>
    </xf>
    <xf numFmtId="0" fontId="15" fillId="0" borderId="27" xfId="0" applyFont="1" applyFill="1" applyBorder="1" applyAlignment="1">
      <alignment wrapText="1"/>
    </xf>
    <xf numFmtId="0" fontId="15" fillId="0" borderId="28" xfId="0" applyFont="1" applyFill="1" applyBorder="1" applyAlignment="1">
      <alignment wrapText="1"/>
    </xf>
    <xf numFmtId="0" fontId="15" fillId="0" borderId="29" xfId="0" applyFont="1" applyFill="1" applyBorder="1" applyAlignment="1">
      <alignment wrapText="1"/>
    </xf>
    <xf numFmtId="0" fontId="15" fillId="0" borderId="27" xfId="0" applyFont="1" applyFill="1" applyBorder="1"/>
    <xf numFmtId="0" fontId="15" fillId="0" borderId="28" xfId="0" applyFont="1" applyFill="1" applyBorder="1"/>
    <xf numFmtId="0" fontId="15" fillId="0" borderId="29" xfId="0" applyFont="1" applyFill="1" applyBorder="1"/>
    <xf numFmtId="0" fontId="15" fillId="0" borderId="27" xfId="0" applyFont="1" applyFill="1" applyBorder="1" applyAlignment="1">
      <alignment horizontal="left" wrapText="1"/>
    </xf>
    <xf numFmtId="0" fontId="15" fillId="0" borderId="28" xfId="0" applyFont="1" applyFill="1" applyBorder="1" applyAlignment="1">
      <alignment horizontal="left" wrapText="1"/>
    </xf>
    <xf numFmtId="0" fontId="15" fillId="0" borderId="29" xfId="0" applyFont="1" applyFill="1" applyBorder="1" applyAlignment="1">
      <alignment horizontal="left" wrapText="1"/>
    </xf>
    <xf numFmtId="0" fontId="15" fillId="0" borderId="47" xfId="0" applyFont="1" applyBorder="1" applyAlignment="1">
      <alignment wrapText="1"/>
    </xf>
    <xf numFmtId="0" fontId="15" fillId="0" borderId="0" xfId="0" applyFont="1" applyBorder="1" applyAlignment="1">
      <alignment wrapText="1"/>
    </xf>
    <xf numFmtId="0" fontId="15" fillId="0" borderId="48" xfId="0" applyFont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" xfId="0" applyFont="1" applyBorder="1" applyAlignment="1">
      <alignment horizontal="left" wrapText="1"/>
    </xf>
    <xf numFmtId="0" fontId="11" fillId="0" borderId="3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15" fillId="0" borderId="3" xfId="0" applyFont="1" applyBorder="1"/>
    <xf numFmtId="0" fontId="15" fillId="0" borderId="23" xfId="0" applyFont="1" applyBorder="1"/>
    <xf numFmtId="0" fontId="11" fillId="0" borderId="5" xfId="0" applyFont="1" applyBorder="1" applyAlignment="1">
      <alignment wrapText="1"/>
    </xf>
    <xf numFmtId="0" fontId="11" fillId="0" borderId="6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5" fillId="0" borderId="33" xfId="0" applyFont="1" applyFill="1" applyBorder="1" applyAlignment="1">
      <alignment horizontal="left" vertical="top" wrapText="1"/>
    </xf>
    <xf numFmtId="0" fontId="15" fillId="0" borderId="34" xfId="0" applyFont="1" applyFill="1" applyBorder="1" applyAlignment="1">
      <alignment horizontal="left" vertical="top" wrapText="1"/>
    </xf>
    <xf numFmtId="0" fontId="15" fillId="0" borderId="35" xfId="0" applyFont="1" applyFill="1" applyBorder="1" applyAlignment="1">
      <alignment horizontal="left" vertical="top" wrapText="1"/>
    </xf>
    <xf numFmtId="0" fontId="11" fillId="0" borderId="33" xfId="0" applyFont="1" applyFill="1" applyBorder="1" applyAlignment="1">
      <alignment horizontal="left" wrapText="1"/>
    </xf>
    <xf numFmtId="0" fontId="11" fillId="0" borderId="34" xfId="0" applyFont="1" applyFill="1" applyBorder="1" applyAlignment="1">
      <alignment horizontal="left" wrapText="1"/>
    </xf>
    <xf numFmtId="0" fontId="11" fillId="0" borderId="35" xfId="0" applyFont="1" applyFill="1" applyBorder="1" applyAlignment="1">
      <alignment horizontal="left" wrapText="1"/>
    </xf>
    <xf numFmtId="0" fontId="11" fillId="0" borderId="47" xfId="0" applyFont="1" applyBorder="1" applyAlignment="1">
      <alignment wrapText="1"/>
    </xf>
    <xf numFmtId="0" fontId="11" fillId="0" borderId="0" xfId="0" applyFont="1" applyBorder="1" applyAlignment="1">
      <alignment wrapText="1"/>
    </xf>
    <xf numFmtId="0" fontId="11" fillId="0" borderId="48" xfId="0" applyFont="1" applyBorder="1" applyAlignment="1">
      <alignment wrapText="1"/>
    </xf>
    <xf numFmtId="0" fontId="11" fillId="0" borderId="33" xfId="0" applyFont="1" applyFill="1" applyBorder="1" applyAlignment="1">
      <alignment wrapText="1"/>
    </xf>
    <xf numFmtId="0" fontId="11" fillId="0" borderId="34" xfId="0" applyFont="1" applyFill="1" applyBorder="1" applyAlignment="1">
      <alignment wrapText="1"/>
    </xf>
    <xf numFmtId="0" fontId="11" fillId="0" borderId="35" xfId="0" applyFont="1" applyFill="1" applyBorder="1" applyAlignment="1">
      <alignment wrapText="1"/>
    </xf>
    <xf numFmtId="0" fontId="15" fillId="0" borderId="27" xfId="0" applyFont="1" applyBorder="1" applyAlignment="1">
      <alignment horizontal="left" wrapText="1"/>
    </xf>
    <xf numFmtId="0" fontId="15" fillId="0" borderId="28" xfId="0" applyFont="1" applyBorder="1" applyAlignment="1">
      <alignment horizontal="left" wrapText="1"/>
    </xf>
    <xf numFmtId="0" fontId="15" fillId="0" borderId="29" xfId="0" applyFont="1" applyBorder="1" applyAlignment="1">
      <alignment horizontal="left" wrapText="1"/>
    </xf>
    <xf numFmtId="0" fontId="11" fillId="0" borderId="33" xfId="0" applyFont="1" applyBorder="1" applyAlignment="1">
      <alignment horizontal="left" wrapText="1"/>
    </xf>
    <xf numFmtId="0" fontId="11" fillId="0" borderId="34" xfId="0" applyFont="1" applyBorder="1" applyAlignment="1">
      <alignment horizontal="left" wrapText="1"/>
    </xf>
    <xf numFmtId="0" fontId="11" fillId="0" borderId="35" xfId="0" applyFont="1" applyBorder="1" applyAlignment="1">
      <alignment horizontal="left" wrapText="1"/>
    </xf>
    <xf numFmtId="0" fontId="15" fillId="0" borderId="6" xfId="0" applyFont="1" applyBorder="1" applyAlignment="1">
      <alignment horizontal="left" vertical="center"/>
    </xf>
    <xf numFmtId="0" fontId="15" fillId="0" borderId="24" xfId="0" applyFont="1" applyBorder="1" applyAlignment="1">
      <alignment horizontal="left" vertical="center"/>
    </xf>
    <xf numFmtId="0" fontId="15" fillId="0" borderId="1" xfId="0" applyFont="1" applyBorder="1"/>
    <xf numFmtId="0" fontId="15" fillId="0" borderId="22" xfId="0" applyFont="1" applyBorder="1"/>
    <xf numFmtId="0" fontId="15" fillId="0" borderId="7" xfId="0" applyFont="1" applyBorder="1"/>
    <xf numFmtId="0" fontId="15" fillId="0" borderId="34" xfId="0" applyFont="1" applyBorder="1"/>
    <xf numFmtId="0" fontId="15" fillId="0" borderId="35" xfId="0" applyFont="1" applyBorder="1"/>
    <xf numFmtId="0" fontId="11" fillId="0" borderId="33" xfId="0" applyFont="1" applyBorder="1" applyAlignment="1">
      <alignment wrapText="1"/>
    </xf>
    <xf numFmtId="0" fontId="11" fillId="0" borderId="34" xfId="0" applyFont="1" applyBorder="1" applyAlignment="1">
      <alignment wrapText="1"/>
    </xf>
    <xf numFmtId="0" fontId="15" fillId="0" borderId="30" xfId="0" applyFont="1" applyBorder="1" applyAlignment="1">
      <alignment wrapText="1"/>
    </xf>
    <xf numFmtId="0" fontId="15" fillId="0" borderId="31" xfId="0" applyFont="1" applyBorder="1" applyAlignment="1">
      <alignment wrapText="1"/>
    </xf>
    <xf numFmtId="0" fontId="15" fillId="0" borderId="32" xfId="0" applyFont="1" applyBorder="1" applyAlignment="1">
      <alignment wrapText="1"/>
    </xf>
    <xf numFmtId="0" fontId="11" fillId="0" borderId="2" xfId="0" applyFont="1" applyFill="1" applyBorder="1" applyAlignment="1">
      <alignment wrapText="1"/>
    </xf>
    <xf numFmtId="0" fontId="11" fillId="0" borderId="3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5" xfId="0" applyFont="1" applyBorder="1" applyAlignment="1">
      <alignment horizontal="left" wrapText="1"/>
    </xf>
    <xf numFmtId="0" fontId="11" fillId="0" borderId="6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43" xfId="0" applyFont="1" applyBorder="1"/>
    <xf numFmtId="0" fontId="11" fillId="0" borderId="44" xfId="0" applyFont="1" applyBorder="1"/>
    <xf numFmtId="0" fontId="11" fillId="0" borderId="39" xfId="0" applyFont="1" applyBorder="1"/>
    <xf numFmtId="0" fontId="8" fillId="2" borderId="0" xfId="1" applyFont="1" applyBorder="1" applyAlignment="1">
      <alignment wrapText="1"/>
    </xf>
    <xf numFmtId="0" fontId="15" fillId="0" borderId="2" xfId="0" applyFont="1" applyFill="1" applyBorder="1" applyAlignment="1">
      <alignment horizontal="left" wrapText="1"/>
    </xf>
    <xf numFmtId="0" fontId="15" fillId="0" borderId="3" xfId="0" applyFont="1" applyFill="1" applyBorder="1" applyAlignment="1">
      <alignment horizontal="left" wrapText="1"/>
    </xf>
    <xf numFmtId="0" fontId="15" fillId="0" borderId="23" xfId="0" applyFont="1" applyFill="1" applyBorder="1" applyAlignment="1">
      <alignment horizontal="left" wrapText="1"/>
    </xf>
    <xf numFmtId="0" fontId="15" fillId="0" borderId="33" xfId="0" applyFont="1" applyBorder="1" applyAlignment="1">
      <alignment vertical="center" wrapText="1"/>
    </xf>
    <xf numFmtId="0" fontId="15" fillId="0" borderId="34" xfId="0" applyFont="1" applyBorder="1" applyAlignment="1">
      <alignment vertical="center" wrapText="1"/>
    </xf>
    <xf numFmtId="0" fontId="15" fillId="0" borderId="35" xfId="0" applyFont="1" applyBorder="1" applyAlignment="1">
      <alignment vertical="center" wrapText="1"/>
    </xf>
    <xf numFmtId="0" fontId="15" fillId="0" borderId="30" xfId="0" applyFont="1" applyFill="1" applyBorder="1" applyAlignment="1">
      <alignment horizontal="left" wrapText="1"/>
    </xf>
    <xf numFmtId="0" fontId="15" fillId="0" borderId="31" xfId="0" applyFont="1" applyFill="1" applyBorder="1" applyAlignment="1">
      <alignment horizontal="left" wrapText="1"/>
    </xf>
    <xf numFmtId="0" fontId="15" fillId="0" borderId="32" xfId="0" applyFont="1" applyFill="1" applyBorder="1" applyAlignment="1">
      <alignment horizontal="left" wrapText="1"/>
    </xf>
    <xf numFmtId="0" fontId="15" fillId="0" borderId="27" xfId="0" applyFont="1" applyBorder="1" applyAlignment="1">
      <alignment wrapText="1"/>
    </xf>
    <xf numFmtId="0" fontId="15" fillId="0" borderId="28" xfId="0" applyFont="1" applyBorder="1" applyAlignment="1">
      <alignment wrapText="1"/>
    </xf>
    <xf numFmtId="0" fontId="15" fillId="0" borderId="29" xfId="0" applyFont="1" applyBorder="1" applyAlignment="1">
      <alignment wrapText="1"/>
    </xf>
    <xf numFmtId="0" fontId="8" fillId="2" borderId="46" xfId="1" applyFont="1" applyBorder="1" applyAlignment="1">
      <alignment wrapText="1"/>
    </xf>
    <xf numFmtId="0" fontId="15" fillId="0" borderId="33" xfId="0" applyFont="1" applyFill="1" applyBorder="1"/>
    <xf numFmtId="0" fontId="15" fillId="0" borderId="34" xfId="0" applyFont="1" applyFill="1" applyBorder="1"/>
    <xf numFmtId="0" fontId="15" fillId="0" borderId="35" xfId="0" applyFont="1" applyFill="1" applyBorder="1"/>
    <xf numFmtId="0" fontId="15" fillId="0" borderId="42" xfId="0" applyFont="1" applyBorder="1" applyAlignment="1">
      <alignment wrapText="1"/>
    </xf>
    <xf numFmtId="0" fontId="15" fillId="0" borderId="40" xfId="0" applyFont="1" applyBorder="1" applyAlignment="1">
      <alignment wrapText="1"/>
    </xf>
    <xf numFmtId="0" fontId="15" fillId="0" borderId="4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1" fillId="0" borderId="49" xfId="0" applyFont="1" applyBorder="1" applyAlignment="1">
      <alignment wrapText="1"/>
    </xf>
    <xf numFmtId="0" fontId="15" fillId="0" borderId="7" xfId="0" applyFont="1" applyBorder="1" applyAlignment="1">
      <alignment wrapText="1"/>
    </xf>
    <xf numFmtId="0" fontId="15" fillId="0" borderId="33" xfId="0" applyFont="1" applyBorder="1" applyAlignment="1">
      <alignment horizontal="left" wrapText="1"/>
    </xf>
    <xf numFmtId="0" fontId="15" fillId="0" borderId="34" xfId="0" applyFont="1" applyBorder="1" applyAlignment="1">
      <alignment horizontal="left" wrapText="1"/>
    </xf>
    <xf numFmtId="0" fontId="15" fillId="0" borderId="35" xfId="0" applyFont="1" applyBorder="1" applyAlignment="1">
      <alignment horizontal="left" wrapText="1"/>
    </xf>
    <xf numFmtId="0" fontId="11" fillId="6" borderId="43" xfId="0" applyFont="1" applyFill="1" applyBorder="1" applyAlignment="1">
      <alignment wrapText="1"/>
    </xf>
    <xf numFmtId="0" fontId="11" fillId="6" borderId="44" xfId="0" applyFont="1" applyFill="1" applyBorder="1" applyAlignment="1">
      <alignment wrapText="1"/>
    </xf>
    <xf numFmtId="0" fontId="11" fillId="6" borderId="39" xfId="0" applyFont="1" applyFill="1" applyBorder="1" applyAlignment="1">
      <alignment wrapText="1"/>
    </xf>
    <xf numFmtId="0" fontId="15" fillId="0" borderId="42" xfId="0" applyFont="1" applyFill="1" applyBorder="1" applyAlignment="1">
      <alignment horizontal="left" wrapText="1"/>
    </xf>
    <xf numFmtId="0" fontId="15" fillId="0" borderId="40" xfId="0" applyFont="1" applyFill="1" applyBorder="1" applyAlignment="1">
      <alignment horizontal="left" wrapText="1"/>
    </xf>
    <xf numFmtId="0" fontId="15" fillId="0" borderId="41" xfId="0" applyFont="1" applyFill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5" fillId="0" borderId="26" xfId="0" applyFont="1" applyBorder="1" applyAlignment="1">
      <alignment vertical="center" wrapText="1"/>
    </xf>
    <xf numFmtId="0" fontId="15" fillId="0" borderId="53" xfId="0" applyFont="1" applyBorder="1" applyAlignment="1">
      <alignment vertical="center" wrapText="1"/>
    </xf>
    <xf numFmtId="0" fontId="11" fillId="0" borderId="30" xfId="0" applyFont="1" applyFill="1" applyBorder="1"/>
    <xf numFmtId="0" fontId="11" fillId="0" borderId="56" xfId="0" applyFont="1" applyFill="1" applyBorder="1"/>
    <xf numFmtId="0" fontId="15" fillId="0" borderId="8" xfId="0" applyFont="1" applyFill="1" applyBorder="1"/>
    <xf numFmtId="0" fontId="15" fillId="0" borderId="32" xfId="0" applyFont="1" applyFill="1" applyBorder="1"/>
    <xf numFmtId="0" fontId="15" fillId="0" borderId="2" xfId="0" applyFont="1" applyFill="1" applyBorder="1"/>
    <xf numFmtId="0" fontId="15" fillId="0" borderId="3" xfId="0" applyFont="1" applyFill="1" applyBorder="1"/>
    <xf numFmtId="0" fontId="15" fillId="0" borderId="23" xfId="0" applyFont="1" applyFill="1" applyBorder="1"/>
    <xf numFmtId="0" fontId="15" fillId="0" borderId="43" xfId="0" applyFont="1" applyFill="1" applyBorder="1"/>
    <xf numFmtId="0" fontId="15" fillId="0" borderId="44" xfId="0" applyFont="1" applyFill="1" applyBorder="1"/>
    <xf numFmtId="0" fontId="15" fillId="0" borderId="39" xfId="0" applyFont="1" applyFill="1" applyBorder="1"/>
    <xf numFmtId="0" fontId="11" fillId="0" borderId="27" xfId="0" applyFont="1" applyFill="1" applyBorder="1" applyAlignment="1">
      <alignment wrapText="1"/>
    </xf>
    <xf numFmtId="0" fontId="11" fillId="0" borderId="28" xfId="0" applyFont="1" applyFill="1" applyBorder="1" applyAlignment="1">
      <alignment wrapText="1"/>
    </xf>
    <xf numFmtId="0" fontId="11" fillId="0" borderId="29" xfId="0" applyFont="1" applyFill="1" applyBorder="1" applyAlignment="1">
      <alignment wrapText="1"/>
    </xf>
    <xf numFmtId="0" fontId="15" fillId="0" borderId="2" xfId="0" applyFont="1" applyFill="1" applyBorder="1" applyAlignment="1">
      <alignment wrapText="1"/>
    </xf>
    <xf numFmtId="0" fontId="15" fillId="0" borderId="3" xfId="0" applyFont="1" applyFill="1" applyBorder="1" applyAlignment="1">
      <alignment wrapText="1"/>
    </xf>
    <xf numFmtId="0" fontId="15" fillId="0" borderId="23" xfId="0" applyFont="1" applyFill="1" applyBorder="1" applyAlignment="1">
      <alignment wrapText="1"/>
    </xf>
    <xf numFmtId="0" fontId="15" fillId="0" borderId="27" xfId="0" applyFont="1" applyBorder="1"/>
    <xf numFmtId="0" fontId="15" fillId="0" borderId="28" xfId="0" applyFont="1" applyBorder="1"/>
    <xf numFmtId="0" fontId="15" fillId="0" borderId="29" xfId="0" applyFont="1" applyBorder="1"/>
    <xf numFmtId="0" fontId="15" fillId="0" borderId="30" xfId="0" applyFont="1" applyBorder="1" applyAlignment="1">
      <alignment vertical="center" wrapText="1"/>
    </xf>
    <xf numFmtId="0" fontId="15" fillId="0" borderId="31" xfId="0" applyFont="1" applyBorder="1" applyAlignment="1">
      <alignment vertical="center" wrapText="1"/>
    </xf>
    <xf numFmtId="0" fontId="15" fillId="0" borderId="32" xfId="0" applyFont="1" applyBorder="1" applyAlignment="1">
      <alignment vertical="center" wrapText="1"/>
    </xf>
    <xf numFmtId="0" fontId="15" fillId="0" borderId="4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22" xfId="0" applyFont="1" applyFill="1" applyBorder="1" applyAlignment="1">
      <alignment wrapText="1"/>
    </xf>
    <xf numFmtId="0" fontId="15" fillId="0" borderId="49" xfId="0" applyFont="1" applyFill="1" applyBorder="1" applyAlignment="1">
      <alignment wrapText="1"/>
    </xf>
    <xf numFmtId="0" fontId="15" fillId="0" borderId="7" xfId="0" applyFont="1" applyFill="1" applyBorder="1" applyAlignment="1">
      <alignment wrapText="1"/>
    </xf>
    <xf numFmtId="0" fontId="11" fillId="0" borderId="33" xfId="0" applyFont="1" applyFill="1" applyBorder="1"/>
    <xf numFmtId="0" fontId="11" fillId="0" borderId="34" xfId="0" applyFont="1" applyFill="1" applyBorder="1"/>
    <xf numFmtId="0" fontId="11" fillId="0" borderId="35" xfId="0" applyFont="1" applyFill="1" applyBorder="1"/>
    <xf numFmtId="0" fontId="11" fillId="0" borderId="31" xfId="0" applyFont="1" applyFill="1" applyBorder="1"/>
    <xf numFmtId="0" fontId="11" fillId="0" borderId="32" xfId="0" applyFont="1" applyFill="1" applyBorder="1"/>
    <xf numFmtId="0" fontId="15" fillId="0" borderId="43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5" fillId="0" borderId="39" xfId="0" applyFont="1" applyBorder="1" applyAlignment="1">
      <alignment vertical="center"/>
    </xf>
    <xf numFmtId="0" fontId="11" fillId="0" borderId="43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5" fillId="0" borderId="5" xfId="0" applyFont="1" applyFill="1" applyBorder="1" applyAlignment="1">
      <alignment horizontal="left" wrapText="1"/>
    </xf>
    <xf numFmtId="0" fontId="15" fillId="0" borderId="6" xfId="0" applyFont="1" applyFill="1" applyBorder="1" applyAlignment="1">
      <alignment horizontal="left" wrapText="1"/>
    </xf>
    <xf numFmtId="0" fontId="15" fillId="0" borderId="24" xfId="0" applyFont="1" applyFill="1" applyBorder="1" applyAlignment="1">
      <alignment horizontal="left" wrapText="1"/>
    </xf>
    <xf numFmtId="0" fontId="13" fillId="0" borderId="54" xfId="0" applyFont="1" applyBorder="1" applyAlignment="1">
      <alignment wrapText="1"/>
    </xf>
    <xf numFmtId="0" fontId="11" fillId="0" borderId="27" xfId="0" applyFont="1" applyBorder="1" applyAlignment="1">
      <alignment vertical="center" wrapText="1"/>
    </xf>
    <xf numFmtId="0" fontId="11" fillId="0" borderId="28" xfId="0" applyFont="1" applyBorder="1" applyAlignment="1">
      <alignment vertical="center" wrapText="1"/>
    </xf>
    <xf numFmtId="0" fontId="11" fillId="0" borderId="29" xfId="0" applyFont="1" applyBorder="1" applyAlignment="1">
      <alignment vertical="center" wrapText="1"/>
    </xf>
    <xf numFmtId="0" fontId="15" fillId="0" borderId="42" xfId="0" applyFont="1" applyBorder="1" applyAlignment="1">
      <alignment vertical="center" wrapText="1"/>
    </xf>
    <xf numFmtId="0" fontId="15" fillId="0" borderId="40" xfId="0" applyFont="1" applyBorder="1" applyAlignment="1">
      <alignment vertical="center" wrapText="1"/>
    </xf>
    <xf numFmtId="0" fontId="15" fillId="0" borderId="41" xfId="0" applyFont="1" applyBorder="1" applyAlignment="1">
      <alignment vertical="center" wrapText="1"/>
    </xf>
    <xf numFmtId="0" fontId="11" fillId="6" borderId="43" xfId="0" applyFont="1" applyFill="1" applyBorder="1"/>
    <xf numFmtId="0" fontId="11" fillId="6" borderId="44" xfId="0" applyFont="1" applyFill="1" applyBorder="1"/>
    <xf numFmtId="0" fontId="11" fillId="6" borderId="39" xfId="0" applyFont="1" applyFill="1" applyBorder="1"/>
    <xf numFmtId="0" fontId="11" fillId="6" borderId="47" xfId="0" applyFont="1" applyFill="1" applyBorder="1" applyAlignment="1">
      <alignment wrapText="1"/>
    </xf>
    <xf numFmtId="0" fontId="11" fillId="6" borderId="0" xfId="0" applyFont="1" applyFill="1" applyBorder="1" applyAlignment="1">
      <alignment wrapText="1"/>
    </xf>
    <xf numFmtId="0" fontId="11" fillId="6" borderId="48" xfId="0" applyFont="1" applyFill="1" applyBorder="1" applyAlignment="1">
      <alignment wrapText="1"/>
    </xf>
    <xf numFmtId="0" fontId="15" fillId="0" borderId="50" xfId="0" applyFont="1" applyBorder="1" applyAlignment="1">
      <alignment horizontal="left" wrapText="1"/>
    </xf>
    <xf numFmtId="0" fontId="15" fillId="0" borderId="51" xfId="0" applyFont="1" applyBorder="1" applyAlignment="1">
      <alignment horizontal="left" wrapText="1"/>
    </xf>
    <xf numFmtId="0" fontId="15" fillId="0" borderId="52" xfId="0" applyFont="1" applyBorder="1" applyAlignment="1">
      <alignment horizontal="left" wrapText="1"/>
    </xf>
    <xf numFmtId="0" fontId="15" fillId="0" borderId="4" xfId="0" applyFont="1" applyBorder="1"/>
    <xf numFmtId="0" fontId="15" fillId="0" borderId="33" xfId="0" applyFont="1" applyBorder="1" applyAlignment="1"/>
    <xf numFmtId="0" fontId="15" fillId="0" borderId="34" xfId="0" applyFont="1" applyBorder="1" applyAlignment="1"/>
    <xf numFmtId="0" fontId="15" fillId="0" borderId="35" xfId="0" applyFont="1" applyBorder="1" applyAlignment="1"/>
    <xf numFmtId="0" fontId="15" fillId="0" borderId="30" xfId="0" applyFont="1" applyBorder="1"/>
    <xf numFmtId="0" fontId="15" fillId="0" borderId="31" xfId="0" applyFont="1" applyBorder="1"/>
    <xf numFmtId="0" fontId="15" fillId="0" borderId="32" xfId="0" applyFont="1" applyBorder="1"/>
    <xf numFmtId="0" fontId="15" fillId="0" borderId="30" xfId="0" applyFont="1" applyBorder="1" applyAlignment="1">
      <alignment vertical="center"/>
    </xf>
    <xf numFmtId="0" fontId="15" fillId="0" borderId="31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1" xfId="0" applyFont="1" applyFill="1" applyBorder="1" applyAlignment="1"/>
    <xf numFmtId="0" fontId="15" fillId="0" borderId="22" xfId="0" applyFont="1" applyFill="1" applyBorder="1" applyAlignment="1"/>
    <xf numFmtId="0" fontId="11" fillId="0" borderId="30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1" fillId="0" borderId="33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0" xfId="0" applyFont="1" applyBorder="1"/>
    <xf numFmtId="0" fontId="11" fillId="0" borderId="31" xfId="0" applyFont="1" applyBorder="1"/>
    <xf numFmtId="0" fontId="11" fillId="0" borderId="32" xfId="0" applyFont="1" applyBorder="1"/>
    <xf numFmtId="0" fontId="11" fillId="0" borderId="33" xfId="0" applyFont="1" applyBorder="1" applyAlignment="1"/>
    <xf numFmtId="0" fontId="11" fillId="0" borderId="34" xfId="0" applyFont="1" applyBorder="1" applyAlignment="1"/>
    <xf numFmtId="0" fontId="11" fillId="0" borderId="35" xfId="0" applyFont="1" applyBorder="1" applyAlignment="1"/>
    <xf numFmtId="0" fontId="15" fillId="0" borderId="30" xfId="0" applyFont="1" applyFill="1" applyBorder="1" applyAlignment="1">
      <alignment wrapText="1"/>
    </xf>
    <xf numFmtId="0" fontId="15" fillId="0" borderId="31" xfId="0" applyFont="1" applyFill="1" applyBorder="1" applyAlignment="1">
      <alignment wrapText="1"/>
    </xf>
    <xf numFmtId="0" fontId="15" fillId="0" borderId="32" xfId="0" applyFont="1" applyFill="1" applyBorder="1" applyAlignment="1">
      <alignment wrapText="1"/>
    </xf>
    <xf numFmtId="0" fontId="11" fillId="0" borderId="30" xfId="0" applyFont="1" applyBorder="1" applyAlignment="1">
      <alignment vertical="center"/>
    </xf>
    <xf numFmtId="0" fontId="11" fillId="0" borderId="31" xfId="0" applyFont="1" applyBorder="1" applyAlignment="1">
      <alignment vertical="center"/>
    </xf>
    <xf numFmtId="0" fontId="11" fillId="0" borderId="32" xfId="0" applyFont="1" applyBorder="1" applyAlignment="1">
      <alignment vertical="center"/>
    </xf>
    <xf numFmtId="0" fontId="11" fillId="0" borderId="5" xfId="0" applyFont="1" applyFill="1" applyBorder="1" applyAlignment="1">
      <alignment wrapText="1"/>
    </xf>
    <xf numFmtId="0" fontId="11" fillId="0" borderId="6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6" borderId="47" xfId="0" applyFont="1" applyFill="1" applyBorder="1"/>
    <xf numFmtId="0" fontId="11" fillId="6" borderId="0" xfId="0" applyFont="1" applyFill="1" applyBorder="1"/>
    <xf numFmtId="0" fontId="11" fillId="6" borderId="48" xfId="0" applyFont="1" applyFill="1" applyBorder="1"/>
    <xf numFmtId="0" fontId="11" fillId="0" borderId="21" xfId="0" applyFont="1" applyBorder="1"/>
    <xf numFmtId="0" fontId="11" fillId="0" borderId="10" xfId="0" applyFont="1" applyBorder="1"/>
    <xf numFmtId="0" fontId="11" fillId="0" borderId="45" xfId="0" applyFont="1" applyBorder="1"/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1" fillId="0" borderId="32" xfId="0" applyFont="1" applyBorder="1" applyAlignment="1">
      <alignment vertical="center" wrapText="1"/>
    </xf>
    <xf numFmtId="0" fontId="15" fillId="0" borderId="4" xfId="0" applyFont="1" applyFill="1" applyBorder="1"/>
    <xf numFmtId="0" fontId="15" fillId="0" borderId="1" xfId="0" applyFont="1" applyFill="1" applyBorder="1"/>
    <xf numFmtId="0" fontId="15" fillId="0" borderId="22" xfId="0" applyFont="1" applyFill="1" applyBorder="1"/>
    <xf numFmtId="0" fontId="11" fillId="0" borderId="21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11" fillId="0" borderId="45" xfId="0" applyFont="1" applyFill="1" applyBorder="1" applyAlignment="1">
      <alignment wrapText="1"/>
    </xf>
    <xf numFmtId="0" fontId="15" fillId="0" borderId="4" xfId="0" applyFont="1" applyBorder="1" applyAlignment="1"/>
    <xf numFmtId="0" fontId="15" fillId="0" borderId="1" xfId="0" applyFont="1" applyBorder="1" applyAlignment="1"/>
    <xf numFmtId="0" fontId="15" fillId="0" borderId="22" xfId="0" applyFont="1" applyBorder="1" applyAlignment="1"/>
    <xf numFmtId="0" fontId="15" fillId="0" borderId="33" xfId="0" applyFont="1" applyBorder="1"/>
    <xf numFmtId="0" fontId="11" fillId="0" borderId="2" xfId="0" applyFont="1" applyBorder="1"/>
    <xf numFmtId="0" fontId="11" fillId="0" borderId="3" xfId="0" applyFont="1" applyBorder="1"/>
    <xf numFmtId="0" fontId="11" fillId="0" borderId="23" xfId="0" applyFont="1" applyBorder="1"/>
    <xf numFmtId="0" fontId="11" fillId="0" borderId="30" xfId="0" applyFont="1" applyFill="1" applyBorder="1" applyAlignment="1">
      <alignment wrapText="1"/>
    </xf>
    <xf numFmtId="0" fontId="11" fillId="0" borderId="31" xfId="0" applyFont="1" applyFill="1" applyBorder="1" applyAlignment="1">
      <alignment wrapText="1"/>
    </xf>
    <xf numFmtId="0" fontId="11" fillId="0" borderId="32" xfId="0" applyFont="1" applyFill="1" applyBorder="1" applyAlignment="1">
      <alignment wrapText="1"/>
    </xf>
    <xf numFmtId="0" fontId="15" fillId="0" borderId="5" xfId="0" applyFont="1" applyFill="1" applyBorder="1" applyAlignment="1">
      <alignment wrapText="1"/>
    </xf>
    <xf numFmtId="0" fontId="15" fillId="0" borderId="6" xfId="0" applyFont="1" applyFill="1" applyBorder="1" applyAlignment="1">
      <alignment wrapText="1"/>
    </xf>
    <xf numFmtId="0" fontId="15" fillId="0" borderId="24" xfId="0" applyFont="1" applyFill="1" applyBorder="1" applyAlignment="1">
      <alignment wrapText="1"/>
    </xf>
    <xf numFmtId="0" fontId="15" fillId="0" borderId="42" xfId="0" applyFont="1" applyBorder="1"/>
    <xf numFmtId="0" fontId="15" fillId="0" borderId="40" xfId="0" applyFont="1" applyBorder="1"/>
    <xf numFmtId="0" fontId="15" fillId="0" borderId="41" xfId="0" applyFont="1" applyBorder="1"/>
    <xf numFmtId="0" fontId="15" fillId="0" borderId="43" xfId="0" applyFont="1" applyBorder="1"/>
    <xf numFmtId="0" fontId="15" fillId="0" borderId="44" xfId="0" applyFont="1" applyBorder="1"/>
    <xf numFmtId="0" fontId="15" fillId="0" borderId="39" xfId="0" applyFont="1" applyBorder="1"/>
    <xf numFmtId="0" fontId="11" fillId="0" borderId="30" xfId="0" applyFont="1" applyBorder="1" applyAlignment="1">
      <alignment horizontal="left" wrapText="1"/>
    </xf>
    <xf numFmtId="0" fontId="11" fillId="0" borderId="31" xfId="0" applyFont="1" applyBorder="1" applyAlignment="1">
      <alignment horizontal="left" wrapText="1"/>
    </xf>
    <xf numFmtId="0" fontId="11" fillId="0" borderId="32" xfId="0" applyFont="1" applyBorder="1" applyAlignment="1">
      <alignment horizontal="left" wrapText="1"/>
    </xf>
    <xf numFmtId="0" fontId="15" fillId="0" borderId="30" xfId="0" applyFont="1" applyBorder="1" applyAlignment="1">
      <alignment horizontal="left" wrapText="1"/>
    </xf>
    <xf numFmtId="0" fontId="15" fillId="0" borderId="31" xfId="0" applyFont="1" applyBorder="1" applyAlignment="1">
      <alignment horizontal="left" wrapText="1"/>
    </xf>
    <xf numFmtId="0" fontId="15" fillId="0" borderId="32" xfId="0" applyFont="1" applyBorder="1" applyAlignment="1">
      <alignment horizontal="left" wrapText="1"/>
    </xf>
    <xf numFmtId="0" fontId="11" fillId="0" borderId="42" xfId="0" applyFont="1" applyBorder="1"/>
    <xf numFmtId="0" fontId="11" fillId="0" borderId="40" xfId="0" applyFont="1" applyBorder="1"/>
    <xf numFmtId="0" fontId="11" fillId="0" borderId="41" xfId="0" applyFont="1" applyBorder="1"/>
    <xf numFmtId="0" fontId="15" fillId="0" borderId="2" xfId="0" applyFont="1" applyBorder="1"/>
    <xf numFmtId="0" fontId="11" fillId="0" borderId="26" xfId="0" applyFont="1" applyFill="1" applyBorder="1" applyAlignment="1">
      <alignment wrapText="1"/>
    </xf>
    <xf numFmtId="0" fontId="11" fillId="0" borderId="53" xfId="0" applyFont="1" applyFill="1" applyBorder="1" applyAlignment="1">
      <alignment wrapText="1"/>
    </xf>
    <xf numFmtId="0" fontId="11" fillId="0" borderId="65" xfId="0" applyFont="1" applyFill="1" applyBorder="1" applyAlignment="1">
      <alignment wrapText="1"/>
    </xf>
    <xf numFmtId="0" fontId="11" fillId="0" borderId="26" xfId="0" applyFont="1" applyBorder="1"/>
    <xf numFmtId="0" fontId="11" fillId="0" borderId="53" xfId="0" applyFont="1" applyBorder="1"/>
    <xf numFmtId="0" fontId="11" fillId="0" borderId="65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1"/>
  <sheetViews>
    <sheetView topLeftCell="A16" zoomScaleNormal="100" workbookViewId="0">
      <selection activeCell="C38" sqref="C38:F38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8.28515625" style="2" customWidth="1"/>
    <col min="5" max="5" width="18.140625" style="2" customWidth="1"/>
    <col min="6" max="6" width="23.85546875" style="2" customWidth="1"/>
    <col min="7" max="7" width="16.5703125" style="2" customWidth="1"/>
    <col min="8" max="8" width="6.85546875" style="2" customWidth="1"/>
    <col min="9" max="9" width="10.140625" style="2" customWidth="1"/>
    <col min="10" max="10" width="20" style="2" customWidth="1"/>
    <col min="11" max="11" width="18.85546875" style="2" customWidth="1"/>
    <col min="12" max="12" width="17.7109375" style="2" customWidth="1"/>
    <col min="13" max="13" width="23.28515625" style="2" customWidth="1"/>
    <col min="14" max="14" width="18.140625" style="2" customWidth="1"/>
    <col min="15" max="15" width="6.85546875" style="2" customWidth="1"/>
    <col min="16" max="16" width="9.28515625" style="2" customWidth="1"/>
    <col min="17" max="17" width="20" style="2" customWidth="1"/>
    <col min="18" max="18" width="19.42578125" style="2" customWidth="1"/>
    <col min="19" max="19" width="20.28515625" style="2" customWidth="1"/>
    <col min="20" max="20" width="19.28515625" style="2" customWidth="1"/>
    <col min="21" max="21" width="18.140625" style="2" customWidth="1"/>
    <col min="22" max="16384" width="9.140625" style="2"/>
  </cols>
  <sheetData>
    <row r="1" spans="1:22" x14ac:dyDescent="0.4">
      <c r="A1" s="1" t="s">
        <v>7</v>
      </c>
      <c r="F1" s="3" t="s">
        <v>8</v>
      </c>
      <c r="H1" s="1" t="s">
        <v>7</v>
      </c>
      <c r="M1" s="3" t="s">
        <v>8</v>
      </c>
      <c r="O1" s="1" t="s">
        <v>7</v>
      </c>
      <c r="T1" s="3" t="s">
        <v>8</v>
      </c>
    </row>
    <row r="2" spans="1:22" x14ac:dyDescent="0.4">
      <c r="A2" s="1" t="s">
        <v>121</v>
      </c>
      <c r="F2" s="3" t="s">
        <v>9</v>
      </c>
      <c r="H2" s="1" t="s">
        <v>121</v>
      </c>
      <c r="M2" s="3" t="s">
        <v>9</v>
      </c>
      <c r="O2" s="1" t="s">
        <v>121</v>
      </c>
      <c r="T2" s="3" t="s">
        <v>9</v>
      </c>
    </row>
    <row r="3" spans="1:22" x14ac:dyDescent="0.4">
      <c r="A3" s="1" t="s">
        <v>10</v>
      </c>
      <c r="F3" s="3" t="s">
        <v>11</v>
      </c>
      <c r="H3" s="1" t="s">
        <v>10</v>
      </c>
      <c r="M3" s="3" t="s">
        <v>11</v>
      </c>
      <c r="O3" s="1" t="s">
        <v>10</v>
      </c>
      <c r="T3" s="3" t="s">
        <v>11</v>
      </c>
    </row>
    <row r="4" spans="1:22" x14ac:dyDescent="0.4">
      <c r="A4" s="1"/>
      <c r="F4" s="3" t="s">
        <v>127</v>
      </c>
      <c r="H4" s="1"/>
      <c r="M4" s="3" t="s">
        <v>127</v>
      </c>
      <c r="O4" s="1"/>
      <c r="T4" s="3" t="s">
        <v>127</v>
      </c>
    </row>
    <row r="5" spans="1:22" x14ac:dyDescent="0.4">
      <c r="A5" s="4" t="s">
        <v>12</v>
      </c>
      <c r="B5" s="5"/>
      <c r="C5" s="5"/>
      <c r="D5" s="6"/>
      <c r="E5" s="5"/>
      <c r="F5" s="7"/>
      <c r="H5" s="4" t="s">
        <v>12</v>
      </c>
      <c r="I5" s="5"/>
      <c r="J5" s="5"/>
      <c r="K5" s="6"/>
      <c r="L5" s="5"/>
      <c r="M5" s="7"/>
      <c r="O5" s="4" t="s">
        <v>12</v>
      </c>
      <c r="P5" s="5"/>
      <c r="Q5" s="5"/>
      <c r="R5" s="6"/>
      <c r="S5" s="5"/>
      <c r="T5" s="7"/>
    </row>
    <row r="6" spans="1:22" x14ac:dyDescent="0.4">
      <c r="A6" s="8" t="s">
        <v>1</v>
      </c>
      <c r="C6" s="9" t="s">
        <v>123</v>
      </c>
      <c r="D6" s="9"/>
      <c r="E6" s="10" t="s">
        <v>31</v>
      </c>
      <c r="F6" s="11" t="s">
        <v>2</v>
      </c>
      <c r="H6" s="8" t="s">
        <v>1</v>
      </c>
      <c r="J6" s="9" t="s">
        <v>123</v>
      </c>
      <c r="K6" s="9"/>
      <c r="L6" s="10" t="str">
        <f t="shared" ref="J6:L8" si="0">E6</f>
        <v>весенний</v>
      </c>
      <c r="M6" s="11" t="s">
        <v>2</v>
      </c>
      <c r="O6" s="8" t="s">
        <v>1</v>
      </c>
      <c r="Q6" s="9" t="s">
        <v>123</v>
      </c>
      <c r="R6" s="9"/>
      <c r="S6" s="10" t="s">
        <v>31</v>
      </c>
      <c r="T6" s="11" t="s">
        <v>2</v>
      </c>
    </row>
    <row r="7" spans="1:22" x14ac:dyDescent="0.4">
      <c r="A7" s="12" t="s">
        <v>3</v>
      </c>
      <c r="C7" s="13" t="s">
        <v>4</v>
      </c>
      <c r="D7" s="13"/>
      <c r="E7" s="10">
        <v>1</v>
      </c>
      <c r="F7" s="11" t="s">
        <v>5</v>
      </c>
      <c r="H7" s="12" t="s">
        <v>3</v>
      </c>
      <c r="J7" s="46" t="str">
        <f t="shared" si="0"/>
        <v>государства и права</v>
      </c>
      <c r="K7" s="13"/>
      <c r="L7" s="10">
        <f t="shared" si="0"/>
        <v>1</v>
      </c>
      <c r="M7" s="11" t="s">
        <v>5</v>
      </c>
      <c r="O7" s="12" t="s">
        <v>3</v>
      </c>
      <c r="Q7" s="46" t="str">
        <f t="shared" ref="Q7:S8" si="1">J7</f>
        <v>государства и права</v>
      </c>
      <c r="R7" s="13"/>
      <c r="S7" s="10">
        <f t="shared" si="1"/>
        <v>1</v>
      </c>
      <c r="T7" s="11" t="s">
        <v>5</v>
      </c>
    </row>
    <row r="8" spans="1:22" x14ac:dyDescent="0.4">
      <c r="A8" s="12" t="s">
        <v>15</v>
      </c>
      <c r="C8" s="14" t="s">
        <v>16</v>
      </c>
      <c r="D8" s="14"/>
      <c r="E8" s="15" t="s">
        <v>124</v>
      </c>
      <c r="F8" s="16" t="s">
        <v>6</v>
      </c>
      <c r="H8" s="12" t="s">
        <v>15</v>
      </c>
      <c r="J8" s="14" t="str">
        <f t="shared" si="0"/>
        <v>40.03.01 Юриспруденция</v>
      </c>
      <c r="K8" s="14"/>
      <c r="L8" s="15" t="s">
        <v>125</v>
      </c>
      <c r="M8" s="16" t="s">
        <v>6</v>
      </c>
      <c r="O8" s="12" t="s">
        <v>15</v>
      </c>
      <c r="Q8" s="14" t="str">
        <f t="shared" si="1"/>
        <v>40.03.01 Юриспруденция</v>
      </c>
      <c r="R8" s="14"/>
      <c r="S8" s="15" t="s">
        <v>126</v>
      </c>
      <c r="T8" s="16" t="s">
        <v>6</v>
      </c>
    </row>
    <row r="9" spans="1:22" ht="16.5" customHeight="1" thickBot="1" x14ac:dyDescent="0.45">
      <c r="A9" s="12" t="s">
        <v>33</v>
      </c>
      <c r="C9" s="200" t="s">
        <v>133</v>
      </c>
      <c r="D9" s="200"/>
      <c r="E9" s="47"/>
      <c r="H9" s="12" t="s">
        <v>33</v>
      </c>
      <c r="J9" s="200" t="s">
        <v>133</v>
      </c>
      <c r="K9" s="200"/>
      <c r="L9" s="17"/>
      <c r="M9" s="48"/>
      <c r="O9" s="12" t="s">
        <v>33</v>
      </c>
      <c r="Q9" s="200" t="s">
        <v>133</v>
      </c>
      <c r="R9" s="200"/>
      <c r="S9" s="49"/>
      <c r="T9" s="50"/>
    </row>
    <row r="10" spans="1:22" ht="19.5" thickBot="1" x14ac:dyDescent="0.45">
      <c r="A10" s="18" t="s">
        <v>17</v>
      </c>
      <c r="B10" s="19" t="s">
        <v>0</v>
      </c>
      <c r="C10" s="20" t="s">
        <v>25</v>
      </c>
      <c r="D10" s="24"/>
      <c r="E10" s="21"/>
      <c r="F10" s="22"/>
      <c r="G10" s="23" t="s">
        <v>14</v>
      </c>
      <c r="H10" s="18" t="s">
        <v>17</v>
      </c>
      <c r="I10" s="19" t="s">
        <v>0</v>
      </c>
      <c r="J10" s="20" t="s">
        <v>25</v>
      </c>
      <c r="K10" s="24"/>
      <c r="L10" s="21"/>
      <c r="M10" s="22"/>
      <c r="N10" s="23" t="s">
        <v>14</v>
      </c>
      <c r="O10" s="18" t="s">
        <v>17</v>
      </c>
      <c r="P10" s="19" t="s">
        <v>0</v>
      </c>
      <c r="Q10" s="20" t="s">
        <v>25</v>
      </c>
      <c r="R10" s="24"/>
      <c r="S10" s="21"/>
      <c r="T10" s="22"/>
      <c r="U10" s="23" t="s">
        <v>14</v>
      </c>
    </row>
    <row r="11" spans="1:22" ht="20.25" customHeight="1" x14ac:dyDescent="0.4">
      <c r="A11" s="25" t="s">
        <v>18</v>
      </c>
      <c r="B11" s="26">
        <v>1</v>
      </c>
      <c r="C11" s="204" t="s">
        <v>139</v>
      </c>
      <c r="D11" s="205"/>
      <c r="E11" s="205"/>
      <c r="F11" s="206"/>
      <c r="G11" s="128" t="s">
        <v>41</v>
      </c>
      <c r="H11" s="25" t="s">
        <v>18</v>
      </c>
      <c r="I11" s="26">
        <v>1</v>
      </c>
      <c r="J11" s="204" t="s">
        <v>139</v>
      </c>
      <c r="K11" s="205"/>
      <c r="L11" s="205"/>
      <c r="M11" s="206"/>
      <c r="N11" s="128" t="s">
        <v>41</v>
      </c>
      <c r="O11" s="25" t="s">
        <v>18</v>
      </c>
      <c r="P11" s="26">
        <v>1</v>
      </c>
      <c r="Q11" s="204" t="s">
        <v>139</v>
      </c>
      <c r="R11" s="205"/>
      <c r="S11" s="205"/>
      <c r="T11" s="206"/>
      <c r="U11" s="128" t="s">
        <v>41</v>
      </c>
    </row>
    <row r="12" spans="1:22" ht="33.75" customHeight="1" x14ac:dyDescent="0.4">
      <c r="A12" s="28"/>
      <c r="B12" s="29">
        <v>2</v>
      </c>
      <c r="C12" s="163" t="s">
        <v>137</v>
      </c>
      <c r="D12" s="164"/>
      <c r="E12" s="164"/>
      <c r="F12" s="165"/>
      <c r="G12" s="120" t="s">
        <v>138</v>
      </c>
      <c r="H12" s="28"/>
      <c r="I12" s="29">
        <v>2</v>
      </c>
      <c r="J12" s="163" t="s">
        <v>137</v>
      </c>
      <c r="K12" s="164"/>
      <c r="L12" s="164"/>
      <c r="M12" s="165"/>
      <c r="N12" s="120" t="s">
        <v>138</v>
      </c>
      <c r="O12" s="28"/>
      <c r="P12" s="29">
        <v>2</v>
      </c>
      <c r="Q12" s="163" t="s">
        <v>137</v>
      </c>
      <c r="R12" s="164"/>
      <c r="S12" s="164"/>
      <c r="T12" s="165"/>
      <c r="U12" s="120" t="s">
        <v>138</v>
      </c>
    </row>
    <row r="13" spans="1:22" ht="53.25" customHeight="1" x14ac:dyDescent="0.4">
      <c r="A13" s="28"/>
      <c r="B13" s="29">
        <v>3</v>
      </c>
      <c r="C13" s="163" t="s">
        <v>150</v>
      </c>
      <c r="D13" s="164"/>
      <c r="E13" s="164"/>
      <c r="F13" s="165"/>
      <c r="G13" s="120" t="s">
        <v>272</v>
      </c>
      <c r="H13" s="28"/>
      <c r="I13" s="29">
        <v>3</v>
      </c>
      <c r="J13" s="163" t="s">
        <v>150</v>
      </c>
      <c r="K13" s="164"/>
      <c r="L13" s="164"/>
      <c r="M13" s="165"/>
      <c r="N13" s="120" t="s">
        <v>272</v>
      </c>
      <c r="O13" s="28"/>
      <c r="P13" s="29">
        <v>3</v>
      </c>
      <c r="Q13" s="163" t="s">
        <v>150</v>
      </c>
      <c r="R13" s="164"/>
      <c r="S13" s="164"/>
      <c r="T13" s="165"/>
      <c r="U13" s="120" t="s">
        <v>272</v>
      </c>
      <c r="V13" s="28"/>
    </row>
    <row r="14" spans="1:22" ht="18.75" customHeight="1" thickBot="1" x14ac:dyDescent="0.45">
      <c r="A14" s="28"/>
      <c r="B14" s="29">
        <v>4</v>
      </c>
      <c r="C14" s="224" t="s">
        <v>151</v>
      </c>
      <c r="D14" s="225"/>
      <c r="E14" s="225"/>
      <c r="F14" s="226"/>
      <c r="G14" s="129" t="s">
        <v>93</v>
      </c>
      <c r="H14" s="28"/>
      <c r="I14" s="29">
        <v>4</v>
      </c>
      <c r="J14" s="227"/>
      <c r="K14" s="228"/>
      <c r="L14" s="228"/>
      <c r="M14" s="229"/>
      <c r="N14" s="30"/>
      <c r="O14" s="28"/>
      <c r="P14" s="29">
        <v>4</v>
      </c>
      <c r="Q14" s="233"/>
      <c r="R14" s="234"/>
      <c r="S14" s="234"/>
      <c r="T14" s="235"/>
      <c r="U14" s="30"/>
    </row>
    <row r="15" spans="1:22" ht="56.25" customHeight="1" x14ac:dyDescent="0.4">
      <c r="A15" s="34" t="s">
        <v>19</v>
      </c>
      <c r="B15" s="35">
        <v>1</v>
      </c>
      <c r="C15" s="201" t="s">
        <v>152</v>
      </c>
      <c r="D15" s="202"/>
      <c r="E15" s="202"/>
      <c r="F15" s="203"/>
      <c r="G15" s="128" t="s">
        <v>146</v>
      </c>
      <c r="H15" s="52" t="s">
        <v>19</v>
      </c>
      <c r="I15" s="53">
        <v>1</v>
      </c>
      <c r="J15" s="201" t="s">
        <v>152</v>
      </c>
      <c r="K15" s="202"/>
      <c r="L15" s="202"/>
      <c r="M15" s="203"/>
      <c r="N15" s="128" t="s">
        <v>146</v>
      </c>
      <c r="O15" s="52" t="s">
        <v>19</v>
      </c>
      <c r="P15" s="35">
        <v>1</v>
      </c>
      <c r="Q15" s="201" t="s">
        <v>152</v>
      </c>
      <c r="R15" s="202"/>
      <c r="S15" s="202"/>
      <c r="T15" s="203"/>
      <c r="U15" s="128" t="s">
        <v>146</v>
      </c>
    </row>
    <row r="16" spans="1:22" ht="56.25" customHeight="1" x14ac:dyDescent="0.4">
      <c r="A16" s="28"/>
      <c r="B16" s="29">
        <v>2</v>
      </c>
      <c r="C16" s="163" t="s">
        <v>153</v>
      </c>
      <c r="D16" s="164"/>
      <c r="E16" s="164"/>
      <c r="F16" s="165"/>
      <c r="G16" s="120" t="s">
        <v>147</v>
      </c>
      <c r="H16" s="54"/>
      <c r="I16" s="55">
        <v>2</v>
      </c>
      <c r="J16" s="163" t="s">
        <v>154</v>
      </c>
      <c r="K16" s="164"/>
      <c r="L16" s="164"/>
      <c r="M16" s="165"/>
      <c r="N16" s="120" t="s">
        <v>148</v>
      </c>
      <c r="O16" s="28"/>
      <c r="P16" s="29">
        <v>2</v>
      </c>
      <c r="Q16" s="163" t="s">
        <v>155</v>
      </c>
      <c r="R16" s="164"/>
      <c r="S16" s="164"/>
      <c r="T16" s="165"/>
      <c r="U16" s="120" t="s">
        <v>141</v>
      </c>
    </row>
    <row r="17" spans="1:21" ht="57" customHeight="1" x14ac:dyDescent="0.4">
      <c r="A17" s="28"/>
      <c r="B17" s="29">
        <v>3</v>
      </c>
      <c r="C17" s="163" t="s">
        <v>97</v>
      </c>
      <c r="D17" s="164"/>
      <c r="E17" s="164"/>
      <c r="F17" s="165"/>
      <c r="G17" s="120" t="s">
        <v>96</v>
      </c>
      <c r="H17" s="54"/>
      <c r="I17" s="55">
        <v>3</v>
      </c>
      <c r="J17" s="163" t="s">
        <v>155</v>
      </c>
      <c r="K17" s="164"/>
      <c r="L17" s="164"/>
      <c r="M17" s="165"/>
      <c r="N17" s="120" t="s">
        <v>141</v>
      </c>
      <c r="O17" s="28"/>
      <c r="P17" s="29">
        <v>3</v>
      </c>
      <c r="Q17" s="163" t="s">
        <v>153</v>
      </c>
      <c r="R17" s="164"/>
      <c r="S17" s="164"/>
      <c r="T17" s="165"/>
      <c r="U17" s="120" t="s">
        <v>147</v>
      </c>
    </row>
    <row r="18" spans="1:21" ht="20.25" customHeight="1" thickBot="1" x14ac:dyDescent="0.45">
      <c r="A18" s="36"/>
      <c r="B18" s="32">
        <v>4</v>
      </c>
      <c r="C18" s="210" t="s">
        <v>155</v>
      </c>
      <c r="D18" s="211"/>
      <c r="E18" s="211"/>
      <c r="F18" s="212"/>
      <c r="G18" s="122" t="s">
        <v>141</v>
      </c>
      <c r="H18" s="54"/>
      <c r="I18" s="56">
        <v>4</v>
      </c>
      <c r="J18" s="230"/>
      <c r="K18" s="231"/>
      <c r="L18" s="231"/>
      <c r="M18" s="232"/>
      <c r="N18" s="112"/>
      <c r="O18" s="36"/>
      <c r="P18" s="32">
        <v>4</v>
      </c>
      <c r="Q18" s="213"/>
      <c r="R18" s="214"/>
      <c r="S18" s="214"/>
      <c r="T18" s="215"/>
      <c r="U18" s="110"/>
    </row>
    <row r="19" spans="1:21" ht="33.75" customHeight="1" x14ac:dyDescent="0.4">
      <c r="A19" s="25" t="s">
        <v>20</v>
      </c>
      <c r="B19" s="26">
        <v>2</v>
      </c>
      <c r="C19" s="207" t="s">
        <v>94</v>
      </c>
      <c r="D19" s="208"/>
      <c r="E19" s="208"/>
      <c r="F19" s="209"/>
      <c r="G19" s="128" t="s">
        <v>34</v>
      </c>
      <c r="H19" s="34" t="s">
        <v>20</v>
      </c>
      <c r="I19" s="35">
        <v>1</v>
      </c>
      <c r="J19" s="236" t="s">
        <v>151</v>
      </c>
      <c r="K19" s="237"/>
      <c r="L19" s="237"/>
      <c r="M19" s="238"/>
      <c r="N19" s="123" t="s">
        <v>93</v>
      </c>
      <c r="O19" s="34" t="s">
        <v>20</v>
      </c>
      <c r="P19" s="35">
        <v>1</v>
      </c>
      <c r="Q19" s="216"/>
      <c r="R19" s="217"/>
      <c r="S19" s="217"/>
      <c r="T19" s="218"/>
      <c r="U19" s="123"/>
    </row>
    <row r="20" spans="1:21" ht="18" customHeight="1" x14ac:dyDescent="0.4">
      <c r="A20" s="28"/>
      <c r="B20" s="29">
        <v>4</v>
      </c>
      <c r="C20" s="182" t="s">
        <v>78</v>
      </c>
      <c r="D20" s="183"/>
      <c r="E20" s="183"/>
      <c r="F20" s="184"/>
      <c r="G20" s="120" t="s">
        <v>140</v>
      </c>
      <c r="H20" s="28"/>
      <c r="I20" s="29">
        <v>2</v>
      </c>
      <c r="J20" s="182" t="s">
        <v>156</v>
      </c>
      <c r="K20" s="183"/>
      <c r="L20" s="183"/>
      <c r="M20" s="184"/>
      <c r="N20" s="121" t="s">
        <v>36</v>
      </c>
      <c r="O20" s="28"/>
      <c r="P20" s="29">
        <v>2</v>
      </c>
      <c r="Q20" s="185" t="s">
        <v>151</v>
      </c>
      <c r="R20" s="186"/>
      <c r="S20" s="186"/>
      <c r="T20" s="187"/>
      <c r="U20" s="122" t="s">
        <v>93</v>
      </c>
    </row>
    <row r="21" spans="1:21" ht="33.75" customHeight="1" x14ac:dyDescent="0.4">
      <c r="A21" s="28"/>
      <c r="B21" s="29">
        <v>5</v>
      </c>
      <c r="C21" s="182" t="s">
        <v>159</v>
      </c>
      <c r="D21" s="197"/>
      <c r="E21" s="198"/>
      <c r="F21" s="199"/>
      <c r="G21" s="120" t="s">
        <v>269</v>
      </c>
      <c r="H21" s="28"/>
      <c r="I21" s="29">
        <v>3</v>
      </c>
      <c r="J21" s="182" t="s">
        <v>94</v>
      </c>
      <c r="K21" s="183"/>
      <c r="L21" s="183"/>
      <c r="M21" s="184"/>
      <c r="N21" s="121" t="s">
        <v>35</v>
      </c>
      <c r="O21" s="28"/>
      <c r="P21" s="29">
        <v>3</v>
      </c>
      <c r="Q21" s="194" t="s">
        <v>156</v>
      </c>
      <c r="R21" s="195"/>
      <c r="S21" s="195"/>
      <c r="T21" s="196"/>
      <c r="U21" s="121" t="s">
        <v>36</v>
      </c>
    </row>
    <row r="22" spans="1:21" ht="36" customHeight="1" thickBot="1" x14ac:dyDescent="0.45">
      <c r="A22" s="28"/>
      <c r="B22" s="29">
        <v>6</v>
      </c>
      <c r="C22" s="179"/>
      <c r="D22" s="180"/>
      <c r="E22" s="180"/>
      <c r="F22" s="181"/>
      <c r="G22" s="30"/>
      <c r="H22" s="36"/>
      <c r="I22" s="32">
        <v>4</v>
      </c>
      <c r="J22" s="188"/>
      <c r="K22" s="189"/>
      <c r="L22" s="189"/>
      <c r="M22" s="190"/>
      <c r="N22" s="135"/>
      <c r="O22" s="36"/>
      <c r="P22" s="32">
        <v>4</v>
      </c>
      <c r="Q22" s="191" t="s">
        <v>94</v>
      </c>
      <c r="R22" s="192"/>
      <c r="S22" s="192"/>
      <c r="T22" s="193"/>
      <c r="U22" s="135" t="s">
        <v>35</v>
      </c>
    </row>
    <row r="23" spans="1:21" ht="16.5" customHeight="1" x14ac:dyDescent="0.4">
      <c r="A23" s="34" t="s">
        <v>21</v>
      </c>
      <c r="B23" s="35">
        <v>2</v>
      </c>
      <c r="C23" s="157"/>
      <c r="D23" s="158"/>
      <c r="E23" s="158"/>
      <c r="F23" s="159"/>
      <c r="G23" s="123"/>
      <c r="H23" s="25" t="s">
        <v>21</v>
      </c>
      <c r="I23" s="26">
        <v>1</v>
      </c>
      <c r="J23" s="157" t="s">
        <v>157</v>
      </c>
      <c r="K23" s="158"/>
      <c r="L23" s="158"/>
      <c r="M23" s="159"/>
      <c r="N23" s="125" t="s">
        <v>118</v>
      </c>
      <c r="O23" s="25" t="s">
        <v>21</v>
      </c>
      <c r="P23" s="26">
        <v>2</v>
      </c>
      <c r="Q23" s="157" t="s">
        <v>157</v>
      </c>
      <c r="R23" s="158"/>
      <c r="S23" s="158"/>
      <c r="T23" s="159"/>
      <c r="U23" s="125" t="s">
        <v>118</v>
      </c>
    </row>
    <row r="24" spans="1:21" ht="17.25" customHeight="1" x14ac:dyDescent="0.4">
      <c r="A24" s="28"/>
      <c r="B24" s="29">
        <v>3</v>
      </c>
      <c r="C24" s="160" t="s">
        <v>157</v>
      </c>
      <c r="D24" s="161"/>
      <c r="E24" s="161"/>
      <c r="F24" s="162"/>
      <c r="G24" s="121" t="s">
        <v>118</v>
      </c>
      <c r="H24" s="28"/>
      <c r="I24" s="29">
        <v>2</v>
      </c>
      <c r="J24" s="160" t="s">
        <v>158</v>
      </c>
      <c r="K24" s="161"/>
      <c r="L24" s="161"/>
      <c r="M24" s="162"/>
      <c r="N24" s="121" t="s">
        <v>70</v>
      </c>
      <c r="O24" s="28"/>
      <c r="P24" s="29">
        <v>3</v>
      </c>
      <c r="Q24" s="160" t="s">
        <v>158</v>
      </c>
      <c r="R24" s="161"/>
      <c r="S24" s="161"/>
      <c r="T24" s="162"/>
      <c r="U24" s="121" t="s">
        <v>70</v>
      </c>
    </row>
    <row r="25" spans="1:21" ht="16.5" customHeight="1" x14ac:dyDescent="0.4">
      <c r="A25" s="28"/>
      <c r="B25" s="29">
        <v>4</v>
      </c>
      <c r="C25" s="160" t="s">
        <v>158</v>
      </c>
      <c r="D25" s="161"/>
      <c r="E25" s="161"/>
      <c r="F25" s="162"/>
      <c r="G25" s="121" t="s">
        <v>70</v>
      </c>
      <c r="H25" s="28"/>
      <c r="I25" s="29">
        <v>3</v>
      </c>
      <c r="J25" s="160" t="s">
        <v>78</v>
      </c>
      <c r="K25" s="161"/>
      <c r="L25" s="161"/>
      <c r="M25" s="162"/>
      <c r="N25" s="121" t="s">
        <v>41</v>
      </c>
      <c r="O25" s="28"/>
      <c r="P25" s="29">
        <v>4</v>
      </c>
      <c r="Q25" s="160" t="s">
        <v>78</v>
      </c>
      <c r="R25" s="161"/>
      <c r="S25" s="161"/>
      <c r="T25" s="162"/>
      <c r="U25" s="121" t="s">
        <v>41</v>
      </c>
    </row>
    <row r="26" spans="1:21" ht="17.25" customHeight="1" thickBot="1" x14ac:dyDescent="0.45">
      <c r="A26" s="36"/>
      <c r="B26" s="32">
        <v>5</v>
      </c>
      <c r="C26" s="174"/>
      <c r="D26" s="172"/>
      <c r="E26" s="172" t="s">
        <v>45</v>
      </c>
      <c r="F26" s="173"/>
      <c r="G26" s="122" t="s">
        <v>268</v>
      </c>
      <c r="H26" s="36"/>
      <c r="I26" s="58">
        <v>4</v>
      </c>
      <c r="J26" s="174" t="s">
        <v>99</v>
      </c>
      <c r="K26" s="172"/>
      <c r="L26" s="172" t="s">
        <v>98</v>
      </c>
      <c r="M26" s="173"/>
      <c r="N26" s="122" t="s">
        <v>134</v>
      </c>
      <c r="O26" s="36"/>
      <c r="P26" s="32">
        <v>5</v>
      </c>
      <c r="Q26" s="175" t="s">
        <v>44</v>
      </c>
      <c r="R26" s="176"/>
      <c r="S26" s="177"/>
      <c r="T26" s="178"/>
      <c r="U26" s="135" t="s">
        <v>149</v>
      </c>
    </row>
    <row r="27" spans="1:21" ht="37.5" customHeight="1" x14ac:dyDescent="0.4">
      <c r="A27" s="34" t="s">
        <v>22</v>
      </c>
      <c r="B27" s="35">
        <v>1</v>
      </c>
      <c r="C27" s="169" t="s">
        <v>142</v>
      </c>
      <c r="D27" s="170"/>
      <c r="E27" s="170"/>
      <c r="F27" s="171"/>
      <c r="G27" s="128" t="s">
        <v>143</v>
      </c>
      <c r="H27" s="76" t="s">
        <v>22</v>
      </c>
      <c r="I27" s="53">
        <v>1</v>
      </c>
      <c r="J27" s="166" t="s">
        <v>97</v>
      </c>
      <c r="K27" s="167"/>
      <c r="L27" s="167"/>
      <c r="M27" s="168"/>
      <c r="N27" s="123" t="s">
        <v>96</v>
      </c>
      <c r="O27" s="25" t="s">
        <v>22</v>
      </c>
      <c r="P27" s="26">
        <v>1</v>
      </c>
      <c r="Q27" s="254"/>
      <c r="R27" s="255"/>
      <c r="S27" s="255"/>
      <c r="T27" s="256"/>
      <c r="U27" s="125"/>
    </row>
    <row r="28" spans="1:21" ht="39" customHeight="1" x14ac:dyDescent="0.4">
      <c r="A28" s="37"/>
      <c r="B28" s="29">
        <v>2</v>
      </c>
      <c r="C28" s="182" t="s">
        <v>291</v>
      </c>
      <c r="D28" s="183"/>
      <c r="E28" s="183"/>
      <c r="F28" s="184"/>
      <c r="G28" s="120" t="s">
        <v>36</v>
      </c>
      <c r="H28" s="77"/>
      <c r="I28" s="55">
        <v>2</v>
      </c>
      <c r="J28" s="182" t="s">
        <v>144</v>
      </c>
      <c r="K28" s="183"/>
      <c r="L28" s="183"/>
      <c r="M28" s="184"/>
      <c r="N28" s="122" t="s">
        <v>273</v>
      </c>
      <c r="O28" s="37"/>
      <c r="P28" s="29">
        <v>2</v>
      </c>
      <c r="Q28" s="160" t="s">
        <v>145</v>
      </c>
      <c r="R28" s="161"/>
      <c r="S28" s="161"/>
      <c r="T28" s="162"/>
      <c r="U28" s="122" t="s">
        <v>273</v>
      </c>
    </row>
    <row r="29" spans="1:21" ht="18.75" customHeight="1" x14ac:dyDescent="0.4">
      <c r="A29" s="37"/>
      <c r="B29" s="29">
        <v>3</v>
      </c>
      <c r="C29" s="163" t="s">
        <v>26</v>
      </c>
      <c r="D29" s="164"/>
      <c r="E29" s="164"/>
      <c r="F29" s="165"/>
      <c r="G29" s="120" t="s">
        <v>34</v>
      </c>
      <c r="H29" s="77"/>
      <c r="I29" s="55">
        <v>3</v>
      </c>
      <c r="J29" s="249"/>
      <c r="K29" s="250"/>
      <c r="L29" s="250"/>
      <c r="M29" s="199"/>
      <c r="N29" s="120"/>
      <c r="O29" s="37"/>
      <c r="P29" s="29">
        <v>3</v>
      </c>
      <c r="Q29" s="160" t="s">
        <v>97</v>
      </c>
      <c r="R29" s="161"/>
      <c r="S29" s="161"/>
      <c r="T29" s="162"/>
      <c r="U29" s="121" t="s">
        <v>96</v>
      </c>
    </row>
    <row r="30" spans="1:21" ht="18.75" customHeight="1" thickBot="1" x14ac:dyDescent="0.45">
      <c r="A30" s="38"/>
      <c r="B30" s="32">
        <v>4</v>
      </c>
      <c r="C30" s="257"/>
      <c r="D30" s="258"/>
      <c r="E30" s="258"/>
      <c r="F30" s="259"/>
      <c r="G30" s="33"/>
      <c r="H30" s="78"/>
      <c r="I30" s="56">
        <v>4</v>
      </c>
      <c r="J30" s="221"/>
      <c r="K30" s="222"/>
      <c r="L30" s="222"/>
      <c r="M30" s="223"/>
      <c r="N30" s="111"/>
      <c r="O30" s="59"/>
      <c r="P30" s="58">
        <v>4</v>
      </c>
      <c r="Q30" s="221"/>
      <c r="R30" s="222"/>
      <c r="S30" s="155" t="s">
        <v>45</v>
      </c>
      <c r="T30" s="156"/>
      <c r="U30" s="122" t="s">
        <v>135</v>
      </c>
    </row>
    <row r="31" spans="1:21" ht="18.75" customHeight="1" x14ac:dyDescent="0.4">
      <c r="A31" s="60" t="s">
        <v>23</v>
      </c>
      <c r="B31" s="35">
        <v>1</v>
      </c>
      <c r="C31" s="201" t="s">
        <v>30</v>
      </c>
      <c r="D31" s="202"/>
      <c r="E31" s="202"/>
      <c r="F31" s="203"/>
      <c r="G31" s="40"/>
      <c r="H31" s="101" t="s">
        <v>23</v>
      </c>
      <c r="I31" s="53">
        <v>1</v>
      </c>
      <c r="J31" s="201"/>
      <c r="K31" s="202"/>
      <c r="L31" s="202"/>
      <c r="M31" s="203"/>
      <c r="N31" s="110"/>
      <c r="O31" s="60" t="s">
        <v>23</v>
      </c>
      <c r="P31" s="35">
        <v>2</v>
      </c>
      <c r="Q31" s="260"/>
      <c r="R31" s="261"/>
      <c r="S31" s="261"/>
      <c r="T31" s="262"/>
      <c r="U31" s="123"/>
    </row>
    <row r="32" spans="1:21" ht="17.25" customHeight="1" x14ac:dyDescent="0.4">
      <c r="A32" s="41"/>
      <c r="B32" s="29">
        <v>2</v>
      </c>
      <c r="C32" s="239"/>
      <c r="D32" s="240"/>
      <c r="E32" s="240"/>
      <c r="F32" s="241"/>
      <c r="G32" s="30"/>
      <c r="H32" s="61"/>
      <c r="I32" s="55">
        <v>2</v>
      </c>
      <c r="J32" s="249"/>
      <c r="K32" s="250"/>
      <c r="L32" s="250"/>
      <c r="M32" s="199"/>
      <c r="N32" s="110"/>
      <c r="O32" s="41"/>
      <c r="P32" s="29">
        <v>3</v>
      </c>
      <c r="Q32" s="249"/>
      <c r="R32" s="250"/>
      <c r="S32" s="250"/>
      <c r="T32" s="199"/>
      <c r="U32" s="110"/>
    </row>
    <row r="33" spans="1:21" ht="17.25" customHeight="1" thickBot="1" x14ac:dyDescent="0.45">
      <c r="A33" s="45"/>
      <c r="B33" s="32">
        <v>3</v>
      </c>
      <c r="C33" s="221"/>
      <c r="D33" s="222"/>
      <c r="E33" s="222"/>
      <c r="F33" s="223"/>
      <c r="G33" s="51"/>
      <c r="H33" s="102"/>
      <c r="I33" s="56">
        <v>3</v>
      </c>
      <c r="J33" s="251" t="s">
        <v>26</v>
      </c>
      <c r="K33" s="252"/>
      <c r="L33" s="252"/>
      <c r="M33" s="253"/>
      <c r="N33" s="121" t="s">
        <v>35</v>
      </c>
      <c r="O33" s="45"/>
      <c r="P33" s="32">
        <v>4</v>
      </c>
      <c r="Q33" s="251" t="s">
        <v>26</v>
      </c>
      <c r="R33" s="252"/>
      <c r="S33" s="252"/>
      <c r="T33" s="253"/>
      <c r="U33" s="121" t="s">
        <v>35</v>
      </c>
    </row>
    <row r="34" spans="1:21" s="67" customFormat="1" ht="7.5" customHeight="1" thickBot="1" x14ac:dyDescent="0.45">
      <c r="A34" s="96"/>
      <c r="B34" s="97"/>
      <c r="C34" s="98"/>
      <c r="D34" s="99"/>
      <c r="E34" s="99"/>
      <c r="F34" s="100"/>
      <c r="G34" s="115"/>
      <c r="H34" s="65"/>
      <c r="I34" s="66"/>
      <c r="J34" s="116"/>
      <c r="K34" s="117"/>
      <c r="L34" s="117"/>
      <c r="M34" s="118"/>
      <c r="N34" s="115"/>
      <c r="O34" s="63"/>
      <c r="P34" s="64"/>
      <c r="Q34" s="113"/>
      <c r="R34" s="114"/>
      <c r="S34" s="114"/>
      <c r="T34" s="115"/>
      <c r="U34" s="115"/>
    </row>
    <row r="35" spans="1:21" x14ac:dyDescent="0.4">
      <c r="A35" s="68"/>
      <c r="B35" s="73" t="s">
        <v>28</v>
      </c>
      <c r="C35" s="219" t="s">
        <v>38</v>
      </c>
      <c r="D35" s="219"/>
      <c r="E35" s="219"/>
      <c r="F35" s="220"/>
      <c r="G35" s="123" t="s">
        <v>36</v>
      </c>
      <c r="H35" s="68"/>
      <c r="I35" s="73" t="s">
        <v>28</v>
      </c>
      <c r="J35" s="219" t="s">
        <v>38</v>
      </c>
      <c r="K35" s="219"/>
      <c r="L35" s="219"/>
      <c r="M35" s="220"/>
      <c r="N35" s="128" t="s">
        <v>36</v>
      </c>
      <c r="O35" s="68"/>
      <c r="P35" s="73" t="s">
        <v>28</v>
      </c>
      <c r="Q35" s="219" t="s">
        <v>38</v>
      </c>
      <c r="R35" s="219"/>
      <c r="S35" s="219"/>
      <c r="T35" s="220"/>
      <c r="U35" s="128" t="s">
        <v>36</v>
      </c>
    </row>
    <row r="36" spans="1:21" x14ac:dyDescent="0.4">
      <c r="A36" s="41"/>
      <c r="B36" s="72" t="s">
        <v>28</v>
      </c>
      <c r="C36" s="244" t="s">
        <v>29</v>
      </c>
      <c r="D36" s="244"/>
      <c r="E36" s="244"/>
      <c r="F36" s="245"/>
      <c r="G36" s="122" t="s">
        <v>34</v>
      </c>
      <c r="H36" s="41"/>
      <c r="I36" s="72" t="s">
        <v>28</v>
      </c>
      <c r="J36" s="244" t="s">
        <v>29</v>
      </c>
      <c r="K36" s="244"/>
      <c r="L36" s="244"/>
      <c r="M36" s="245"/>
      <c r="N36" s="122" t="s">
        <v>35</v>
      </c>
      <c r="O36" s="41"/>
      <c r="P36" s="72" t="s">
        <v>28</v>
      </c>
      <c r="Q36" s="244" t="s">
        <v>29</v>
      </c>
      <c r="R36" s="244"/>
      <c r="S36" s="244"/>
      <c r="T36" s="245"/>
      <c r="U36" s="121" t="s">
        <v>35</v>
      </c>
    </row>
    <row r="37" spans="1:21" x14ac:dyDescent="0.4">
      <c r="A37" s="62"/>
      <c r="B37" s="84" t="s">
        <v>28</v>
      </c>
      <c r="C37" s="246" t="s">
        <v>95</v>
      </c>
      <c r="D37" s="247"/>
      <c r="E37" s="247"/>
      <c r="F37" s="248"/>
      <c r="G37" s="122" t="s">
        <v>96</v>
      </c>
      <c r="H37" s="62"/>
      <c r="I37" s="84" t="s">
        <v>28</v>
      </c>
      <c r="J37" s="246" t="s">
        <v>95</v>
      </c>
      <c r="K37" s="247"/>
      <c r="L37" s="247"/>
      <c r="M37" s="248"/>
      <c r="N37" s="122" t="s">
        <v>96</v>
      </c>
      <c r="O37" s="62"/>
      <c r="P37" s="84" t="s">
        <v>28</v>
      </c>
      <c r="Q37" s="246" t="s">
        <v>95</v>
      </c>
      <c r="R37" s="247"/>
      <c r="S37" s="247"/>
      <c r="T37" s="248"/>
      <c r="U37" s="122" t="s">
        <v>96</v>
      </c>
    </row>
    <row r="38" spans="1:21" ht="16.5" customHeight="1" thickBot="1" x14ac:dyDescent="0.45">
      <c r="A38" s="45"/>
      <c r="B38" s="83" t="s">
        <v>28</v>
      </c>
      <c r="C38" s="242" t="s">
        <v>91</v>
      </c>
      <c r="D38" s="242"/>
      <c r="E38" s="242"/>
      <c r="F38" s="243"/>
      <c r="G38" s="133" t="s">
        <v>69</v>
      </c>
      <c r="H38" s="45"/>
      <c r="I38" s="83" t="s">
        <v>28</v>
      </c>
      <c r="J38" s="242" t="s">
        <v>91</v>
      </c>
      <c r="K38" s="242"/>
      <c r="L38" s="242"/>
      <c r="M38" s="243"/>
      <c r="N38" s="133" t="s">
        <v>69</v>
      </c>
      <c r="O38" s="45"/>
      <c r="P38" s="83" t="s">
        <v>28</v>
      </c>
      <c r="Q38" s="242" t="s">
        <v>91</v>
      </c>
      <c r="R38" s="242"/>
      <c r="S38" s="242"/>
      <c r="T38" s="243"/>
      <c r="U38" s="133" t="s">
        <v>69</v>
      </c>
    </row>
    <row r="39" spans="1:21" x14ac:dyDescent="0.4">
      <c r="B39" s="2" t="s">
        <v>130</v>
      </c>
      <c r="E39" s="2" t="s">
        <v>63</v>
      </c>
      <c r="I39" s="2" t="s">
        <v>130</v>
      </c>
      <c r="L39" s="2" t="s">
        <v>63</v>
      </c>
      <c r="P39" s="2" t="s">
        <v>130</v>
      </c>
      <c r="S39" s="2" t="s">
        <v>63</v>
      </c>
    </row>
    <row r="40" spans="1:21" x14ac:dyDescent="0.4">
      <c r="B40" s="2" t="s">
        <v>13</v>
      </c>
      <c r="E40" s="2" t="s">
        <v>131</v>
      </c>
      <c r="I40" s="2" t="s">
        <v>13</v>
      </c>
      <c r="L40" s="2" t="s">
        <v>131</v>
      </c>
      <c r="P40" s="2" t="s">
        <v>13</v>
      </c>
      <c r="S40" s="2" t="s">
        <v>131</v>
      </c>
    </row>
    <row r="41" spans="1:21" x14ac:dyDescent="0.4">
      <c r="B41" s="2" t="s">
        <v>13</v>
      </c>
      <c r="E41" s="2" t="s">
        <v>63</v>
      </c>
      <c r="I41" s="2" t="s">
        <v>13</v>
      </c>
      <c r="L41" s="2" t="s">
        <v>63</v>
      </c>
      <c r="P41" s="2" t="s">
        <v>13</v>
      </c>
      <c r="S41" s="2" t="s">
        <v>63</v>
      </c>
    </row>
  </sheetData>
  <mergeCells count="89">
    <mergeCell ref="Q32:T32"/>
    <mergeCell ref="Q33:T33"/>
    <mergeCell ref="C25:F25"/>
    <mergeCell ref="J30:M30"/>
    <mergeCell ref="Q27:T27"/>
    <mergeCell ref="Q28:T28"/>
    <mergeCell ref="C30:F30"/>
    <mergeCell ref="C31:F31"/>
    <mergeCell ref="J33:M33"/>
    <mergeCell ref="C28:F28"/>
    <mergeCell ref="J28:M28"/>
    <mergeCell ref="J29:M29"/>
    <mergeCell ref="J32:M32"/>
    <mergeCell ref="J26:K26"/>
    <mergeCell ref="Q31:T31"/>
    <mergeCell ref="Q30:R30"/>
    <mergeCell ref="Q38:T38"/>
    <mergeCell ref="C36:F36"/>
    <mergeCell ref="J36:M36"/>
    <mergeCell ref="Q36:T36"/>
    <mergeCell ref="C37:F37"/>
    <mergeCell ref="J37:M37"/>
    <mergeCell ref="Q37:T37"/>
    <mergeCell ref="C38:F38"/>
    <mergeCell ref="J38:M38"/>
    <mergeCell ref="C35:F35"/>
    <mergeCell ref="J35:M35"/>
    <mergeCell ref="C33:F33"/>
    <mergeCell ref="Q35:T35"/>
    <mergeCell ref="J11:M11"/>
    <mergeCell ref="Q11:T11"/>
    <mergeCell ref="C14:F14"/>
    <mergeCell ref="J14:M14"/>
    <mergeCell ref="J18:M18"/>
    <mergeCell ref="Q14:T14"/>
    <mergeCell ref="Q15:T15"/>
    <mergeCell ref="Q17:T17"/>
    <mergeCell ref="J19:M19"/>
    <mergeCell ref="Q16:T16"/>
    <mergeCell ref="C32:F32"/>
    <mergeCell ref="J31:M31"/>
    <mergeCell ref="C17:F17"/>
    <mergeCell ref="J17:M17"/>
    <mergeCell ref="C19:F19"/>
    <mergeCell ref="C12:F12"/>
    <mergeCell ref="Q12:T12"/>
    <mergeCell ref="C16:F16"/>
    <mergeCell ref="C13:F13"/>
    <mergeCell ref="J13:M13"/>
    <mergeCell ref="J15:M15"/>
    <mergeCell ref="C18:F18"/>
    <mergeCell ref="J12:M12"/>
    <mergeCell ref="Q13:T13"/>
    <mergeCell ref="Q18:T18"/>
    <mergeCell ref="Q19:T19"/>
    <mergeCell ref="C9:D9"/>
    <mergeCell ref="J9:K9"/>
    <mergeCell ref="Q9:R9"/>
    <mergeCell ref="C15:F15"/>
    <mergeCell ref="J16:M16"/>
    <mergeCell ref="C11:F11"/>
    <mergeCell ref="Q26:R26"/>
    <mergeCell ref="S26:T26"/>
    <mergeCell ref="C22:F22"/>
    <mergeCell ref="C20:F20"/>
    <mergeCell ref="Q20:T20"/>
    <mergeCell ref="J20:M20"/>
    <mergeCell ref="J22:M22"/>
    <mergeCell ref="Q22:T22"/>
    <mergeCell ref="Q21:T21"/>
    <mergeCell ref="J21:M21"/>
    <mergeCell ref="C21:D21"/>
    <mergeCell ref="E21:F21"/>
    <mergeCell ref="S30:T30"/>
    <mergeCell ref="C23:F23"/>
    <mergeCell ref="C24:F24"/>
    <mergeCell ref="C29:F29"/>
    <mergeCell ref="J25:M25"/>
    <mergeCell ref="J23:M23"/>
    <mergeCell ref="J24:M24"/>
    <mergeCell ref="J27:M27"/>
    <mergeCell ref="C27:F27"/>
    <mergeCell ref="L26:M26"/>
    <mergeCell ref="C26:D26"/>
    <mergeCell ref="E26:F26"/>
    <mergeCell ref="Q23:T23"/>
    <mergeCell ref="Q29:T29"/>
    <mergeCell ref="Q24:T24"/>
    <mergeCell ref="Q25:T25"/>
  </mergeCells>
  <conditionalFormatting sqref="L9">
    <cfRule type="expression" priority="9">
      <formula>IF($C$9=0,"",$C$9)</formula>
    </cfRule>
  </conditionalFormatting>
  <conditionalFormatting sqref="S9">
    <cfRule type="expression" priority="8">
      <formula>IF($C$9=0,"",$C$9)</formula>
    </cfRule>
  </conditionalFormatting>
  <conditionalFormatting sqref="C9 E9">
    <cfRule type="expression" priority="7">
      <formula>IF(#REF!=0,"",#REF!)</formula>
    </cfRule>
  </conditionalFormatting>
  <conditionalFormatting sqref="J9">
    <cfRule type="expression" priority="2">
      <formula>IF(#REF!=0,"",#REF!)</formula>
    </cfRule>
  </conditionalFormatting>
  <conditionalFormatting sqref="Q9">
    <cfRule type="expression" priority="1">
      <formula>IF(#REF!=0,"",#REF!)</formula>
    </cfRule>
  </conditionalFormatting>
  <dataValidations count="3">
    <dataValidation type="list" allowBlank="1" showInputMessage="1" showErrorMessage="1" sqref="S6 L6 E6">
      <formula1>"осенний, весенний"</formula1>
    </dataValidation>
    <dataValidation allowBlank="1" showDropDown="1" showInputMessage="1" showErrorMessage="1" sqref="J7 Q7 C7"/>
    <dataValidation type="list" allowBlank="1" showInputMessage="1" showErrorMessage="1" sqref="C6 J6 Q6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1"/>
  <sheetViews>
    <sheetView topLeftCell="H7" zoomScaleNormal="100" workbookViewId="0">
      <selection activeCell="Q30" sqref="Q30:T30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7.5703125" style="2" customWidth="1"/>
    <col min="5" max="5" width="19.28515625" style="2" customWidth="1"/>
    <col min="6" max="6" width="19.42578125" style="2" customWidth="1"/>
    <col min="7" max="7" width="18.140625" style="2" customWidth="1"/>
    <col min="8" max="8" width="6.85546875" style="2" customWidth="1"/>
    <col min="9" max="9" width="9.5703125" style="2" customWidth="1"/>
    <col min="10" max="10" width="20.5703125" style="2" customWidth="1"/>
    <col min="11" max="11" width="19.85546875" style="2" customWidth="1"/>
    <col min="12" max="12" width="18.7109375" style="2" customWidth="1"/>
    <col min="13" max="13" width="18" style="2" customWidth="1"/>
    <col min="14" max="14" width="18.140625" style="2" customWidth="1"/>
    <col min="15" max="15" width="6.85546875" style="2" customWidth="1"/>
    <col min="16" max="16" width="8.85546875" style="2" customWidth="1"/>
    <col min="17" max="17" width="20" style="2" customWidth="1"/>
    <col min="18" max="18" width="19.42578125" style="2" customWidth="1"/>
    <col min="19" max="19" width="21" style="2" customWidth="1"/>
    <col min="20" max="20" width="19.7109375" style="2" customWidth="1"/>
    <col min="21" max="21" width="18.140625" style="2" customWidth="1"/>
    <col min="22" max="22" width="6.85546875" style="2" customWidth="1"/>
    <col min="23" max="23" width="8.85546875" style="2" customWidth="1"/>
    <col min="24" max="24" width="20" style="2" customWidth="1"/>
    <col min="25" max="25" width="17.7109375" style="2" customWidth="1"/>
    <col min="26" max="26" width="19" style="2" customWidth="1"/>
    <col min="27" max="27" width="20.140625" style="2" customWidth="1"/>
    <col min="28" max="28" width="18.140625" style="2" customWidth="1"/>
    <col min="29" max="16384" width="9.140625" style="2"/>
  </cols>
  <sheetData>
    <row r="1" spans="1:28" x14ac:dyDescent="0.4">
      <c r="A1" s="1" t="s">
        <v>7</v>
      </c>
      <c r="F1" s="3" t="s">
        <v>8</v>
      </c>
      <c r="H1" s="1" t="s">
        <v>7</v>
      </c>
      <c r="M1" s="3" t="s">
        <v>8</v>
      </c>
      <c r="O1" s="1" t="s">
        <v>7</v>
      </c>
      <c r="T1" s="3" t="s">
        <v>8</v>
      </c>
      <c r="V1" s="1" t="s">
        <v>7</v>
      </c>
      <c r="AA1" s="3" t="s">
        <v>8</v>
      </c>
    </row>
    <row r="2" spans="1:28" x14ac:dyDescent="0.4">
      <c r="A2" s="1" t="s">
        <v>121</v>
      </c>
      <c r="F2" s="3" t="s">
        <v>9</v>
      </c>
      <c r="H2" s="1" t="s">
        <v>121</v>
      </c>
      <c r="M2" s="3" t="s">
        <v>9</v>
      </c>
      <c r="O2" s="1" t="s">
        <v>121</v>
      </c>
      <c r="T2" s="3" t="s">
        <v>9</v>
      </c>
      <c r="V2" s="1" t="s">
        <v>121</v>
      </c>
      <c r="AA2" s="3" t="s">
        <v>9</v>
      </c>
    </row>
    <row r="3" spans="1:28" x14ac:dyDescent="0.4">
      <c r="A3" s="1" t="s">
        <v>10</v>
      </c>
      <c r="F3" s="3" t="s">
        <v>11</v>
      </c>
      <c r="H3" s="1" t="s">
        <v>10</v>
      </c>
      <c r="M3" s="3" t="s">
        <v>11</v>
      </c>
      <c r="O3" s="1" t="s">
        <v>10</v>
      </c>
      <c r="T3" s="3" t="s">
        <v>11</v>
      </c>
      <c r="V3" s="1" t="s">
        <v>10</v>
      </c>
      <c r="AA3" s="3" t="s">
        <v>11</v>
      </c>
    </row>
    <row r="4" spans="1:28" x14ac:dyDescent="0.4">
      <c r="A4" s="1"/>
      <c r="F4" s="3" t="s">
        <v>127</v>
      </c>
      <c r="H4" s="1"/>
      <c r="M4" s="3" t="s">
        <v>127</v>
      </c>
      <c r="O4" s="1"/>
      <c r="T4" s="3" t="s">
        <v>127</v>
      </c>
      <c r="V4" s="1"/>
      <c r="AA4" s="3" t="s">
        <v>127</v>
      </c>
    </row>
    <row r="5" spans="1:28" x14ac:dyDescent="0.4">
      <c r="A5" s="4" t="s">
        <v>12</v>
      </c>
      <c r="B5" s="5"/>
      <c r="C5" s="5"/>
      <c r="D5" s="6"/>
      <c r="E5" s="5"/>
      <c r="F5" s="7"/>
      <c r="H5" s="4" t="s">
        <v>12</v>
      </c>
      <c r="I5" s="5"/>
      <c r="J5" s="5"/>
      <c r="K5" s="6"/>
      <c r="L5" s="5"/>
      <c r="M5" s="7"/>
      <c r="O5" s="4" t="s">
        <v>12</v>
      </c>
      <c r="P5" s="5"/>
      <c r="Q5" s="5"/>
      <c r="R5" s="6"/>
      <c r="S5" s="5"/>
      <c r="T5" s="7"/>
      <c r="V5" s="4" t="s">
        <v>12</v>
      </c>
      <c r="W5" s="5"/>
      <c r="X5" s="5"/>
      <c r="Y5" s="6"/>
      <c r="Z5" s="5"/>
      <c r="AA5" s="7"/>
    </row>
    <row r="6" spans="1:28" x14ac:dyDescent="0.4">
      <c r="A6" s="8" t="s">
        <v>1</v>
      </c>
      <c r="C6" s="9" t="s">
        <v>123</v>
      </c>
      <c r="D6" s="9"/>
      <c r="E6" s="10" t="s">
        <v>31</v>
      </c>
      <c r="F6" s="11" t="s">
        <v>2</v>
      </c>
      <c r="H6" s="8" t="s">
        <v>1</v>
      </c>
      <c r="J6" s="9" t="s">
        <v>123</v>
      </c>
      <c r="K6" s="9"/>
      <c r="L6" s="10" t="s">
        <v>31</v>
      </c>
      <c r="M6" s="11" t="s">
        <v>2</v>
      </c>
      <c r="O6" s="8" t="s">
        <v>1</v>
      </c>
      <c r="Q6" s="9" t="s">
        <v>123</v>
      </c>
      <c r="R6" s="9"/>
      <c r="S6" s="10" t="s">
        <v>31</v>
      </c>
      <c r="T6" s="11" t="s">
        <v>2</v>
      </c>
      <c r="V6" s="8" t="s">
        <v>1</v>
      </c>
      <c r="X6" s="9" t="s">
        <v>123</v>
      </c>
      <c r="Y6" s="9"/>
      <c r="Z6" s="10" t="s">
        <v>31</v>
      </c>
      <c r="AA6" s="11" t="s">
        <v>2</v>
      </c>
    </row>
    <row r="7" spans="1:28" x14ac:dyDescent="0.4">
      <c r="A7" s="12" t="s">
        <v>3</v>
      </c>
      <c r="C7" s="13" t="s">
        <v>4</v>
      </c>
      <c r="D7" s="13"/>
      <c r="E7" s="9">
        <f>'1 курс'!$I$16</f>
        <v>2</v>
      </c>
      <c r="F7" s="11" t="s">
        <v>5</v>
      </c>
      <c r="H7" s="12" t="s">
        <v>3</v>
      </c>
      <c r="J7" s="13" t="s">
        <v>4</v>
      </c>
      <c r="K7" s="13"/>
      <c r="L7" s="9">
        <f>'1 курс'!$I$16</f>
        <v>2</v>
      </c>
      <c r="M7" s="11" t="s">
        <v>5</v>
      </c>
      <c r="O7" s="12" t="s">
        <v>3</v>
      </c>
      <c r="Q7" s="13" t="s">
        <v>4</v>
      </c>
      <c r="R7" s="13"/>
      <c r="S7" s="9">
        <f>'1 курс'!$I$16</f>
        <v>2</v>
      </c>
      <c r="T7" s="11" t="s">
        <v>5</v>
      </c>
      <c r="V7" s="12" t="s">
        <v>3</v>
      </c>
      <c r="X7" s="13" t="s">
        <v>4</v>
      </c>
      <c r="Y7" s="13"/>
      <c r="Z7" s="9">
        <f>'1 курс'!$I$16</f>
        <v>2</v>
      </c>
      <c r="AA7" s="11" t="s">
        <v>5</v>
      </c>
    </row>
    <row r="8" spans="1:28" x14ac:dyDescent="0.4">
      <c r="A8" s="12" t="s">
        <v>15</v>
      </c>
      <c r="C8" s="14" t="str">
        <f>'1 курс'!$C$8</f>
        <v>40.03.01 Юриспруденция</v>
      </c>
      <c r="D8" s="14"/>
      <c r="E8" s="15" t="s">
        <v>84</v>
      </c>
      <c r="F8" s="16" t="s">
        <v>6</v>
      </c>
      <c r="H8" s="12" t="s">
        <v>15</v>
      </c>
      <c r="J8" s="14" t="str">
        <f>'1 курс'!$C$8</f>
        <v>40.03.01 Юриспруденция</v>
      </c>
      <c r="K8" s="14"/>
      <c r="L8" s="15" t="s">
        <v>85</v>
      </c>
      <c r="M8" s="16" t="s">
        <v>6</v>
      </c>
      <c r="O8" s="12" t="s">
        <v>15</v>
      </c>
      <c r="Q8" s="14" t="str">
        <f>'1 курс'!$C$8</f>
        <v>40.03.01 Юриспруденция</v>
      </c>
      <c r="R8" s="14"/>
      <c r="S8" s="15" t="s">
        <v>86</v>
      </c>
      <c r="T8" s="16" t="s">
        <v>6</v>
      </c>
      <c r="V8" s="12" t="s">
        <v>15</v>
      </c>
      <c r="X8" s="14" t="str">
        <f>'1 курс'!$C$8</f>
        <v>40.03.01 Юриспруденция</v>
      </c>
      <c r="Y8" s="14"/>
      <c r="Z8" s="15" t="s">
        <v>129</v>
      </c>
      <c r="AA8" s="16" t="s">
        <v>6</v>
      </c>
    </row>
    <row r="9" spans="1:28" ht="16.5" customHeight="1" x14ac:dyDescent="0.4">
      <c r="A9" s="71" t="s">
        <v>24</v>
      </c>
      <c r="C9" s="263" t="s">
        <v>128</v>
      </c>
      <c r="D9" s="263"/>
      <c r="E9" s="263"/>
      <c r="F9" s="263"/>
      <c r="H9" s="71" t="s">
        <v>24</v>
      </c>
      <c r="J9" s="263" t="s">
        <v>88</v>
      </c>
      <c r="K9" s="263"/>
      <c r="L9" s="263"/>
      <c r="M9" s="263"/>
      <c r="O9" s="71" t="s">
        <v>24</v>
      </c>
      <c r="Q9" s="263" t="s">
        <v>89</v>
      </c>
      <c r="R9" s="263"/>
      <c r="S9" s="263"/>
      <c r="T9" s="263"/>
      <c r="V9" s="71" t="s">
        <v>24</v>
      </c>
      <c r="X9" s="263" t="s">
        <v>89</v>
      </c>
      <c r="Y9" s="263"/>
      <c r="Z9" s="263"/>
      <c r="AA9" s="263"/>
    </row>
    <row r="10" spans="1:28" ht="16.5" customHeight="1" thickBot="1" x14ac:dyDescent="0.45">
      <c r="A10" s="71" t="s">
        <v>33</v>
      </c>
      <c r="C10" s="200" t="s">
        <v>133</v>
      </c>
      <c r="D10" s="200"/>
      <c r="E10" s="200"/>
      <c r="F10" s="200"/>
      <c r="H10" s="71" t="s">
        <v>33</v>
      </c>
      <c r="J10" s="276" t="s">
        <v>133</v>
      </c>
      <c r="K10" s="276"/>
      <c r="L10" s="276"/>
      <c r="M10" s="276"/>
      <c r="O10" s="71" t="s">
        <v>33</v>
      </c>
      <c r="Q10" s="276" t="s">
        <v>133</v>
      </c>
      <c r="R10" s="276"/>
      <c r="S10" s="276"/>
      <c r="T10" s="276"/>
      <c r="V10" s="71" t="s">
        <v>33</v>
      </c>
      <c r="X10" s="276" t="s">
        <v>133</v>
      </c>
      <c r="Y10" s="276"/>
      <c r="Z10" s="276"/>
      <c r="AA10" s="276"/>
    </row>
    <row r="11" spans="1:28" ht="19.5" thickBot="1" x14ac:dyDescent="0.45">
      <c r="A11" s="18" t="s">
        <v>17</v>
      </c>
      <c r="B11" s="19" t="s">
        <v>0</v>
      </c>
      <c r="C11" s="20" t="s">
        <v>25</v>
      </c>
      <c r="D11" s="24"/>
      <c r="E11" s="21"/>
      <c r="F11" s="22"/>
      <c r="G11" s="23" t="s">
        <v>14</v>
      </c>
      <c r="H11" s="18" t="s">
        <v>17</v>
      </c>
      <c r="I11" s="19" t="s">
        <v>0</v>
      </c>
      <c r="J11" s="20" t="s">
        <v>25</v>
      </c>
      <c r="K11" s="24"/>
      <c r="L11" s="21"/>
      <c r="M11" s="22"/>
      <c r="N11" s="23" t="s">
        <v>14</v>
      </c>
      <c r="O11" s="18" t="s">
        <v>17</v>
      </c>
      <c r="P11" s="19" t="s">
        <v>0</v>
      </c>
      <c r="Q11" s="20" t="s">
        <v>25</v>
      </c>
      <c r="R11" s="24"/>
      <c r="S11" s="21"/>
      <c r="T11" s="22"/>
      <c r="U11" s="23" t="s">
        <v>14</v>
      </c>
      <c r="V11" s="18" t="s">
        <v>17</v>
      </c>
      <c r="W11" s="19" t="s">
        <v>0</v>
      </c>
      <c r="X11" s="20" t="s">
        <v>25</v>
      </c>
      <c r="Y11" s="24"/>
      <c r="Z11" s="21"/>
      <c r="AA11" s="22"/>
      <c r="AB11" s="23" t="s">
        <v>14</v>
      </c>
    </row>
    <row r="12" spans="1:28" ht="15.75" customHeight="1" x14ac:dyDescent="0.4">
      <c r="A12" s="25" t="s">
        <v>18</v>
      </c>
      <c r="B12" s="26">
        <v>1</v>
      </c>
      <c r="C12" s="207" t="s">
        <v>171</v>
      </c>
      <c r="D12" s="208"/>
      <c r="E12" s="208"/>
      <c r="F12" s="209"/>
      <c r="G12" s="128" t="s">
        <v>172</v>
      </c>
      <c r="H12" s="25" t="s">
        <v>18</v>
      </c>
      <c r="I12" s="26">
        <v>1</v>
      </c>
      <c r="J12" s="207"/>
      <c r="K12" s="208"/>
      <c r="L12" s="208"/>
      <c r="M12" s="209"/>
      <c r="N12" s="128"/>
      <c r="O12" s="25" t="s">
        <v>18</v>
      </c>
      <c r="P12" s="26">
        <v>1</v>
      </c>
      <c r="Q12" s="207"/>
      <c r="R12" s="208"/>
      <c r="S12" s="208"/>
      <c r="T12" s="209"/>
      <c r="U12" s="128"/>
      <c r="V12" s="25" t="s">
        <v>18</v>
      </c>
      <c r="W12" s="26">
        <v>1</v>
      </c>
      <c r="X12" s="207" t="s">
        <v>189</v>
      </c>
      <c r="Y12" s="208"/>
      <c r="Z12" s="208"/>
      <c r="AA12" s="209"/>
      <c r="AB12" s="128" t="s">
        <v>140</v>
      </c>
    </row>
    <row r="13" spans="1:28" x14ac:dyDescent="0.4">
      <c r="A13" s="28"/>
      <c r="B13" s="29">
        <v>2</v>
      </c>
      <c r="C13" s="277" t="s">
        <v>175</v>
      </c>
      <c r="D13" s="278"/>
      <c r="E13" s="278"/>
      <c r="F13" s="279"/>
      <c r="G13" s="120" t="s">
        <v>39</v>
      </c>
      <c r="H13" s="28"/>
      <c r="I13" s="29">
        <v>2</v>
      </c>
      <c r="J13" s="277"/>
      <c r="K13" s="278"/>
      <c r="L13" s="278"/>
      <c r="M13" s="279"/>
      <c r="N13" s="120"/>
      <c r="O13" s="28"/>
      <c r="P13" s="29">
        <v>2</v>
      </c>
      <c r="Q13" s="277" t="s">
        <v>176</v>
      </c>
      <c r="R13" s="278"/>
      <c r="S13" s="278"/>
      <c r="T13" s="279"/>
      <c r="U13" s="120" t="s">
        <v>48</v>
      </c>
      <c r="V13" s="28"/>
      <c r="W13" s="29">
        <v>2</v>
      </c>
      <c r="X13" s="277" t="s">
        <v>177</v>
      </c>
      <c r="Y13" s="278"/>
      <c r="Z13" s="278"/>
      <c r="AA13" s="279"/>
      <c r="AB13" s="120" t="s">
        <v>48</v>
      </c>
    </row>
    <row r="14" spans="1:28" ht="18" customHeight="1" x14ac:dyDescent="0.4">
      <c r="A14" s="28"/>
      <c r="B14" s="29">
        <v>3</v>
      </c>
      <c r="C14" s="277"/>
      <c r="D14" s="278"/>
      <c r="E14" s="278"/>
      <c r="F14" s="279"/>
      <c r="G14" s="120"/>
      <c r="H14" s="28"/>
      <c r="I14" s="29">
        <v>3</v>
      </c>
      <c r="J14" s="277" t="s">
        <v>175</v>
      </c>
      <c r="K14" s="278"/>
      <c r="L14" s="278"/>
      <c r="M14" s="279"/>
      <c r="N14" s="120" t="s">
        <v>39</v>
      </c>
      <c r="O14" s="28"/>
      <c r="P14" s="29">
        <v>3</v>
      </c>
      <c r="Q14" s="277" t="s">
        <v>290</v>
      </c>
      <c r="R14" s="278"/>
      <c r="S14" s="278"/>
      <c r="T14" s="279"/>
      <c r="U14" s="120" t="s">
        <v>140</v>
      </c>
      <c r="V14" s="28"/>
      <c r="W14" s="29">
        <v>3</v>
      </c>
      <c r="X14" s="277" t="s">
        <v>178</v>
      </c>
      <c r="Y14" s="278"/>
      <c r="Z14" s="278"/>
      <c r="AA14" s="279"/>
      <c r="AB14" s="120" t="s">
        <v>48</v>
      </c>
    </row>
    <row r="15" spans="1:28" ht="17.25" customHeight="1" thickBot="1" x14ac:dyDescent="0.45">
      <c r="A15" s="28"/>
      <c r="B15" s="29" t="s">
        <v>160</v>
      </c>
      <c r="C15" s="294" t="s">
        <v>101</v>
      </c>
      <c r="D15" s="295"/>
      <c r="E15" s="295"/>
      <c r="F15" s="296"/>
      <c r="G15" s="30"/>
      <c r="H15" s="28"/>
      <c r="I15" s="29" t="s">
        <v>160</v>
      </c>
      <c r="J15" s="270" t="s">
        <v>101</v>
      </c>
      <c r="K15" s="271"/>
      <c r="L15" s="271"/>
      <c r="M15" s="272"/>
      <c r="N15" s="51"/>
      <c r="O15" s="28"/>
      <c r="P15" s="29" t="s">
        <v>160</v>
      </c>
      <c r="Q15" s="270" t="s">
        <v>101</v>
      </c>
      <c r="R15" s="271"/>
      <c r="S15" s="271"/>
      <c r="T15" s="272"/>
      <c r="U15" s="30"/>
      <c r="V15" s="28"/>
      <c r="W15" s="29" t="s">
        <v>160</v>
      </c>
      <c r="X15" s="270" t="s">
        <v>101</v>
      </c>
      <c r="Y15" s="271"/>
      <c r="Z15" s="271"/>
      <c r="AA15" s="272"/>
      <c r="AB15" s="30"/>
    </row>
    <row r="16" spans="1:28" ht="15.75" customHeight="1" x14ac:dyDescent="0.4">
      <c r="A16" s="34" t="s">
        <v>19</v>
      </c>
      <c r="B16" s="35">
        <v>1</v>
      </c>
      <c r="C16" s="316" t="s">
        <v>99</v>
      </c>
      <c r="D16" s="317"/>
      <c r="E16" s="317" t="s">
        <v>98</v>
      </c>
      <c r="F16" s="318"/>
      <c r="G16" s="123" t="s">
        <v>92</v>
      </c>
      <c r="H16" s="34" t="s">
        <v>19</v>
      </c>
      <c r="I16" s="35">
        <v>1</v>
      </c>
      <c r="J16" s="345"/>
      <c r="K16" s="346"/>
      <c r="L16" s="346"/>
      <c r="M16" s="347"/>
      <c r="N16" s="123"/>
      <c r="O16" s="34" t="s">
        <v>19</v>
      </c>
      <c r="P16" s="35">
        <v>1</v>
      </c>
      <c r="Q16" s="254"/>
      <c r="R16" s="255"/>
      <c r="S16" s="255"/>
      <c r="T16" s="256"/>
      <c r="U16" s="105"/>
      <c r="V16" s="34" t="s">
        <v>19</v>
      </c>
      <c r="W16" s="35">
        <v>1</v>
      </c>
      <c r="X16" s="313"/>
      <c r="Y16" s="314"/>
      <c r="Z16" s="314"/>
      <c r="AA16" s="315"/>
      <c r="AB16" s="105"/>
    </row>
    <row r="17" spans="1:28" ht="18.75" customHeight="1" x14ac:dyDescent="0.4">
      <c r="A17" s="28"/>
      <c r="B17" s="29">
        <v>2</v>
      </c>
      <c r="C17" s="160" t="s">
        <v>182</v>
      </c>
      <c r="D17" s="161"/>
      <c r="E17" s="161"/>
      <c r="F17" s="162"/>
      <c r="G17" s="121" t="s">
        <v>48</v>
      </c>
      <c r="H17" s="28"/>
      <c r="I17" s="29">
        <v>2</v>
      </c>
      <c r="J17" s="163" t="s">
        <v>99</v>
      </c>
      <c r="K17" s="328"/>
      <c r="L17" s="329" t="s">
        <v>179</v>
      </c>
      <c r="M17" s="165"/>
      <c r="N17" s="121" t="s">
        <v>136</v>
      </c>
      <c r="O17" s="28"/>
      <c r="P17" s="29">
        <v>2</v>
      </c>
      <c r="Q17" s="213"/>
      <c r="R17" s="214"/>
      <c r="S17" s="214"/>
      <c r="T17" s="215"/>
      <c r="U17" s="110"/>
      <c r="V17" s="28"/>
      <c r="W17" s="29">
        <v>2</v>
      </c>
      <c r="X17" s="277"/>
      <c r="Y17" s="278"/>
      <c r="Z17" s="278"/>
      <c r="AA17" s="279"/>
      <c r="AB17" s="120"/>
    </row>
    <row r="18" spans="1:28" ht="16.5" customHeight="1" x14ac:dyDescent="0.4">
      <c r="A18" s="28"/>
      <c r="B18" s="29">
        <v>3</v>
      </c>
      <c r="C18" s="325" t="s">
        <v>183</v>
      </c>
      <c r="D18" s="326"/>
      <c r="E18" s="326"/>
      <c r="F18" s="327"/>
      <c r="G18" s="136" t="s">
        <v>164</v>
      </c>
      <c r="H18" s="28"/>
      <c r="I18" s="29">
        <v>3</v>
      </c>
      <c r="J18" s="325" t="s">
        <v>182</v>
      </c>
      <c r="K18" s="326"/>
      <c r="L18" s="326"/>
      <c r="M18" s="327"/>
      <c r="N18" s="136" t="s">
        <v>48</v>
      </c>
      <c r="O18" s="28"/>
      <c r="P18" s="29">
        <v>3</v>
      </c>
      <c r="Q18" s="249"/>
      <c r="R18" s="286"/>
      <c r="S18" s="287" t="s">
        <v>179</v>
      </c>
      <c r="T18" s="184"/>
      <c r="U18" s="121" t="s">
        <v>180</v>
      </c>
      <c r="V18" s="28"/>
      <c r="W18" s="29">
        <v>3</v>
      </c>
      <c r="X18" s="277" t="s">
        <v>185</v>
      </c>
      <c r="Y18" s="278"/>
      <c r="Z18" s="278"/>
      <c r="AA18" s="279"/>
      <c r="AB18" s="120" t="s">
        <v>163</v>
      </c>
    </row>
    <row r="19" spans="1:28" ht="17.25" customHeight="1" thickBot="1" x14ac:dyDescent="0.45">
      <c r="A19" s="36"/>
      <c r="B19" s="32">
        <v>4</v>
      </c>
      <c r="C19" s="221"/>
      <c r="D19" s="222"/>
      <c r="E19" s="222"/>
      <c r="F19" s="223"/>
      <c r="G19" s="121"/>
      <c r="H19" s="28"/>
      <c r="I19" s="29">
        <v>4</v>
      </c>
      <c r="J19" s="221"/>
      <c r="K19" s="222"/>
      <c r="L19" s="222"/>
      <c r="M19" s="223"/>
      <c r="N19" s="121"/>
      <c r="O19" s="36"/>
      <c r="P19" s="32">
        <v>4</v>
      </c>
      <c r="Q19" s="285" t="s">
        <v>182</v>
      </c>
      <c r="R19" s="155"/>
      <c r="S19" s="155"/>
      <c r="T19" s="156"/>
      <c r="U19" s="121" t="s">
        <v>48</v>
      </c>
      <c r="V19" s="36"/>
      <c r="W19" s="32">
        <v>4</v>
      </c>
      <c r="X19" s="221"/>
      <c r="Y19" s="222"/>
      <c r="Z19" s="222"/>
      <c r="AA19" s="223"/>
      <c r="AB19" s="121"/>
    </row>
    <row r="20" spans="1:28" ht="36.75" customHeight="1" x14ac:dyDescent="0.4">
      <c r="A20" s="34" t="s">
        <v>20</v>
      </c>
      <c r="B20" s="35">
        <v>1</v>
      </c>
      <c r="C20" s="260"/>
      <c r="D20" s="261"/>
      <c r="E20" s="261"/>
      <c r="F20" s="262"/>
      <c r="G20" s="27"/>
      <c r="H20" s="34" t="s">
        <v>20</v>
      </c>
      <c r="I20" s="35">
        <v>2</v>
      </c>
      <c r="J20" s="273" t="s">
        <v>167</v>
      </c>
      <c r="K20" s="274"/>
      <c r="L20" s="274"/>
      <c r="M20" s="275"/>
      <c r="N20" s="128" t="s">
        <v>104</v>
      </c>
      <c r="O20" s="25" t="s">
        <v>20</v>
      </c>
      <c r="P20" s="26">
        <v>1</v>
      </c>
      <c r="Q20" s="319" t="s">
        <v>186</v>
      </c>
      <c r="R20" s="320"/>
      <c r="S20" s="320"/>
      <c r="T20" s="321"/>
      <c r="U20" s="123" t="s">
        <v>163</v>
      </c>
      <c r="V20" s="25" t="s">
        <v>20</v>
      </c>
      <c r="W20" s="26">
        <v>1</v>
      </c>
      <c r="X20" s="260"/>
      <c r="Y20" s="261"/>
      <c r="Z20" s="261"/>
      <c r="AA20" s="262"/>
      <c r="AB20" s="128"/>
    </row>
    <row r="21" spans="1:28" ht="33" customHeight="1" x14ac:dyDescent="0.4">
      <c r="A21" s="28"/>
      <c r="B21" s="29">
        <v>2</v>
      </c>
      <c r="C21" s="267" t="s">
        <v>167</v>
      </c>
      <c r="D21" s="268"/>
      <c r="E21" s="268"/>
      <c r="F21" s="269"/>
      <c r="G21" s="120" t="s">
        <v>104</v>
      </c>
      <c r="H21" s="28"/>
      <c r="I21" s="29">
        <v>3</v>
      </c>
      <c r="J21" s="182" t="s">
        <v>105</v>
      </c>
      <c r="K21" s="183"/>
      <c r="L21" s="183"/>
      <c r="M21" s="184"/>
      <c r="N21" s="120" t="s">
        <v>106</v>
      </c>
      <c r="O21" s="28"/>
      <c r="P21" s="29">
        <v>2</v>
      </c>
      <c r="Q21" s="267" t="s">
        <v>167</v>
      </c>
      <c r="R21" s="268"/>
      <c r="S21" s="268"/>
      <c r="T21" s="269"/>
      <c r="U21" s="120" t="s">
        <v>104</v>
      </c>
      <c r="V21" s="28"/>
      <c r="W21" s="29">
        <v>2</v>
      </c>
      <c r="X21" s="267" t="s">
        <v>167</v>
      </c>
      <c r="Y21" s="268"/>
      <c r="Z21" s="268"/>
      <c r="AA21" s="269"/>
      <c r="AB21" s="120" t="s">
        <v>104</v>
      </c>
    </row>
    <row r="22" spans="1:28" ht="36" customHeight="1" x14ac:dyDescent="0.4">
      <c r="A22" s="28"/>
      <c r="B22" s="29">
        <v>3</v>
      </c>
      <c r="C22" s="182" t="s">
        <v>105</v>
      </c>
      <c r="D22" s="183"/>
      <c r="E22" s="183"/>
      <c r="F22" s="184"/>
      <c r="G22" s="120" t="s">
        <v>106</v>
      </c>
      <c r="H22" s="28"/>
      <c r="I22" s="29">
        <v>4</v>
      </c>
      <c r="J22" s="182" t="s">
        <v>203</v>
      </c>
      <c r="K22" s="183"/>
      <c r="L22" s="183"/>
      <c r="M22" s="184"/>
      <c r="N22" s="120" t="s">
        <v>60</v>
      </c>
      <c r="O22" s="28"/>
      <c r="P22" s="29">
        <v>3</v>
      </c>
      <c r="Q22" s="160" t="s">
        <v>105</v>
      </c>
      <c r="R22" s="161"/>
      <c r="S22" s="161"/>
      <c r="T22" s="162"/>
      <c r="U22" s="121" t="s">
        <v>106</v>
      </c>
      <c r="V22" s="28"/>
      <c r="W22" s="29">
        <v>3</v>
      </c>
      <c r="X22" s="182" t="s">
        <v>105</v>
      </c>
      <c r="Y22" s="183"/>
      <c r="Z22" s="183"/>
      <c r="AA22" s="184"/>
      <c r="AB22" s="120" t="s">
        <v>106</v>
      </c>
    </row>
    <row r="23" spans="1:28" ht="18.75" customHeight="1" thickBot="1" x14ac:dyDescent="0.45">
      <c r="A23" s="36"/>
      <c r="B23" s="32">
        <v>4</v>
      </c>
      <c r="C23" s="182" t="s">
        <v>203</v>
      </c>
      <c r="D23" s="183"/>
      <c r="E23" s="183"/>
      <c r="F23" s="184"/>
      <c r="G23" s="120" t="s">
        <v>60</v>
      </c>
      <c r="H23" s="28"/>
      <c r="I23" s="58">
        <v>5</v>
      </c>
      <c r="J23" s="322" t="s">
        <v>288</v>
      </c>
      <c r="K23" s="323"/>
      <c r="L23" s="323"/>
      <c r="M23" s="324"/>
      <c r="N23" s="142" t="s">
        <v>55</v>
      </c>
      <c r="O23" s="28"/>
      <c r="P23" s="29">
        <v>4</v>
      </c>
      <c r="Q23" s="280" t="s">
        <v>203</v>
      </c>
      <c r="R23" s="281"/>
      <c r="S23" s="281"/>
      <c r="T23" s="282"/>
      <c r="U23" s="120" t="s">
        <v>60</v>
      </c>
      <c r="V23" s="28"/>
      <c r="W23" s="29">
        <v>4</v>
      </c>
      <c r="X23" s="280" t="s">
        <v>203</v>
      </c>
      <c r="Y23" s="281"/>
      <c r="Z23" s="281"/>
      <c r="AA23" s="282"/>
      <c r="AB23" s="120" t="s">
        <v>60</v>
      </c>
    </row>
    <row r="24" spans="1:28" ht="21" customHeight="1" x14ac:dyDescent="0.4">
      <c r="A24" s="25" t="s">
        <v>21</v>
      </c>
      <c r="B24" s="26">
        <v>1</v>
      </c>
      <c r="C24" s="207" t="s">
        <v>184</v>
      </c>
      <c r="D24" s="208"/>
      <c r="E24" s="208"/>
      <c r="F24" s="209"/>
      <c r="G24" s="128" t="s">
        <v>141</v>
      </c>
      <c r="H24" s="52" t="s">
        <v>21</v>
      </c>
      <c r="I24" s="35">
        <v>1</v>
      </c>
      <c r="J24" s="207"/>
      <c r="K24" s="208"/>
      <c r="L24" s="208"/>
      <c r="M24" s="209"/>
      <c r="N24" s="125"/>
      <c r="O24" s="34" t="s">
        <v>21</v>
      </c>
      <c r="P24" s="53">
        <v>1</v>
      </c>
      <c r="Q24" s="264" t="s">
        <v>191</v>
      </c>
      <c r="R24" s="265"/>
      <c r="S24" s="265"/>
      <c r="T24" s="266"/>
      <c r="U24" s="123" t="s">
        <v>173</v>
      </c>
      <c r="V24" s="34" t="s">
        <v>21</v>
      </c>
      <c r="W24" s="88">
        <v>1</v>
      </c>
      <c r="X24" s="207" t="s">
        <v>194</v>
      </c>
      <c r="Y24" s="208"/>
      <c r="Z24" s="208"/>
      <c r="AA24" s="209"/>
      <c r="AB24" s="128" t="s">
        <v>174</v>
      </c>
    </row>
    <row r="25" spans="1:28" ht="18" customHeight="1" x14ac:dyDescent="0.4">
      <c r="A25" s="28"/>
      <c r="B25" s="29">
        <v>2</v>
      </c>
      <c r="C25" s="182" t="s">
        <v>192</v>
      </c>
      <c r="D25" s="183"/>
      <c r="E25" s="183"/>
      <c r="F25" s="184"/>
      <c r="G25" s="120" t="s">
        <v>49</v>
      </c>
      <c r="H25" s="54"/>
      <c r="I25" s="29">
        <v>2</v>
      </c>
      <c r="J25" s="182" t="s">
        <v>190</v>
      </c>
      <c r="K25" s="183"/>
      <c r="L25" s="183"/>
      <c r="M25" s="184"/>
      <c r="N25" s="120" t="s">
        <v>173</v>
      </c>
      <c r="O25" s="28"/>
      <c r="P25" s="29">
        <v>2</v>
      </c>
      <c r="Q25" s="160" t="s">
        <v>77</v>
      </c>
      <c r="R25" s="161"/>
      <c r="S25" s="161"/>
      <c r="T25" s="162"/>
      <c r="U25" s="121" t="s">
        <v>55</v>
      </c>
      <c r="V25" s="28"/>
      <c r="W25" s="29">
        <v>2</v>
      </c>
      <c r="X25" s="160" t="s">
        <v>193</v>
      </c>
      <c r="Y25" s="161"/>
      <c r="Z25" s="161"/>
      <c r="AA25" s="162"/>
      <c r="AB25" s="121" t="s">
        <v>40</v>
      </c>
    </row>
    <row r="26" spans="1:28" ht="17.25" customHeight="1" x14ac:dyDescent="0.4">
      <c r="A26" s="28"/>
      <c r="B26" s="29">
        <v>3</v>
      </c>
      <c r="C26" s="182" t="s">
        <v>77</v>
      </c>
      <c r="D26" s="183"/>
      <c r="E26" s="183"/>
      <c r="F26" s="184"/>
      <c r="G26" s="120" t="s">
        <v>55</v>
      </c>
      <c r="H26" s="54"/>
      <c r="I26" s="29">
        <v>3</v>
      </c>
      <c r="J26" s="160" t="s">
        <v>193</v>
      </c>
      <c r="K26" s="161"/>
      <c r="L26" s="161"/>
      <c r="M26" s="162"/>
      <c r="N26" s="121" t="s">
        <v>40</v>
      </c>
      <c r="O26" s="28"/>
      <c r="P26" s="29">
        <v>3</v>
      </c>
      <c r="Q26" s="160" t="s">
        <v>44</v>
      </c>
      <c r="R26" s="161"/>
      <c r="S26" s="283"/>
      <c r="T26" s="284"/>
      <c r="U26" s="121" t="s">
        <v>181</v>
      </c>
      <c r="V26" s="28"/>
      <c r="W26" s="29">
        <v>3</v>
      </c>
      <c r="X26" s="182" t="s">
        <v>192</v>
      </c>
      <c r="Y26" s="183"/>
      <c r="Z26" s="183"/>
      <c r="AA26" s="184"/>
      <c r="AB26" s="120" t="s">
        <v>49</v>
      </c>
    </row>
    <row r="27" spans="1:28" ht="19.5" customHeight="1" thickBot="1" x14ac:dyDescent="0.45">
      <c r="A27" s="28"/>
      <c r="B27" s="29" t="s">
        <v>160</v>
      </c>
      <c r="C27" s="270" t="s">
        <v>101</v>
      </c>
      <c r="D27" s="271"/>
      <c r="E27" s="271"/>
      <c r="F27" s="272"/>
      <c r="G27" s="33"/>
      <c r="H27" s="87"/>
      <c r="I27" s="29" t="s">
        <v>160</v>
      </c>
      <c r="J27" s="270" t="s">
        <v>101</v>
      </c>
      <c r="K27" s="271"/>
      <c r="L27" s="271"/>
      <c r="M27" s="272"/>
      <c r="N27" s="111"/>
      <c r="O27" s="36"/>
      <c r="P27" s="29" t="s">
        <v>160</v>
      </c>
      <c r="Q27" s="341" t="s">
        <v>101</v>
      </c>
      <c r="R27" s="342"/>
      <c r="S27" s="342"/>
      <c r="T27" s="343"/>
      <c r="U27" s="127"/>
      <c r="V27" s="36"/>
      <c r="W27" s="29" t="s">
        <v>160</v>
      </c>
      <c r="X27" s="294" t="s">
        <v>101</v>
      </c>
      <c r="Y27" s="295"/>
      <c r="Z27" s="295"/>
      <c r="AA27" s="296"/>
      <c r="AB27" s="33"/>
    </row>
    <row r="28" spans="1:28" ht="17.25" customHeight="1" x14ac:dyDescent="0.4">
      <c r="A28" s="34" t="s">
        <v>22</v>
      </c>
      <c r="B28" s="35">
        <v>1</v>
      </c>
      <c r="C28" s="310" t="s">
        <v>188</v>
      </c>
      <c r="D28" s="311"/>
      <c r="E28" s="311"/>
      <c r="F28" s="312"/>
      <c r="G28" s="132" t="s">
        <v>163</v>
      </c>
      <c r="H28" s="34" t="s">
        <v>22</v>
      </c>
      <c r="I28" s="35">
        <v>1</v>
      </c>
      <c r="J28" s="335" t="s">
        <v>187</v>
      </c>
      <c r="K28" s="336"/>
      <c r="L28" s="336"/>
      <c r="M28" s="337"/>
      <c r="N28" s="128" t="s">
        <v>163</v>
      </c>
      <c r="O28" s="34" t="s">
        <v>22</v>
      </c>
      <c r="P28" s="35">
        <v>1</v>
      </c>
      <c r="Q28" s="338"/>
      <c r="R28" s="339"/>
      <c r="S28" s="339"/>
      <c r="T28" s="340"/>
      <c r="U28" s="30"/>
      <c r="V28" s="34" t="s">
        <v>22</v>
      </c>
      <c r="W28" s="35">
        <v>2</v>
      </c>
      <c r="X28" s="297"/>
      <c r="Y28" s="298"/>
      <c r="Z28" s="298"/>
      <c r="AA28" s="299"/>
      <c r="AB28" s="126"/>
    </row>
    <row r="29" spans="1:28" ht="18" customHeight="1" x14ac:dyDescent="0.4">
      <c r="A29" s="37"/>
      <c r="B29" s="29">
        <v>2</v>
      </c>
      <c r="C29" s="277" t="s">
        <v>169</v>
      </c>
      <c r="D29" s="278"/>
      <c r="E29" s="278"/>
      <c r="F29" s="279"/>
      <c r="G29" s="120" t="s">
        <v>50</v>
      </c>
      <c r="H29" s="37"/>
      <c r="I29" s="29">
        <v>2</v>
      </c>
      <c r="J29" s="160" t="s">
        <v>168</v>
      </c>
      <c r="K29" s="161"/>
      <c r="L29" s="161"/>
      <c r="M29" s="162"/>
      <c r="N29" s="121" t="s">
        <v>49</v>
      </c>
      <c r="O29" s="37"/>
      <c r="P29" s="29">
        <v>2</v>
      </c>
      <c r="Q29" s="227"/>
      <c r="R29" s="228"/>
      <c r="S29" s="228"/>
      <c r="T29" s="229"/>
      <c r="U29" s="121"/>
      <c r="V29" s="37"/>
      <c r="W29" s="29">
        <v>3</v>
      </c>
      <c r="X29" s="300"/>
      <c r="Y29" s="283"/>
      <c r="Z29" s="283"/>
      <c r="AA29" s="284"/>
      <c r="AB29" s="121"/>
    </row>
    <row r="30" spans="1:28" x14ac:dyDescent="0.4">
      <c r="A30" s="37"/>
      <c r="B30" s="29">
        <v>3</v>
      </c>
      <c r="C30" s="233"/>
      <c r="D30" s="234"/>
      <c r="E30" s="234"/>
      <c r="F30" s="235"/>
      <c r="G30" s="120"/>
      <c r="H30" s="37"/>
      <c r="I30" s="29">
        <v>3</v>
      </c>
      <c r="J30" s="182" t="s">
        <v>169</v>
      </c>
      <c r="K30" s="183"/>
      <c r="L30" s="183"/>
      <c r="M30" s="184"/>
      <c r="N30" s="120" t="s">
        <v>50</v>
      </c>
      <c r="O30" s="37"/>
      <c r="P30" s="29">
        <v>3</v>
      </c>
      <c r="Q30" s="277" t="s">
        <v>168</v>
      </c>
      <c r="R30" s="278"/>
      <c r="S30" s="278"/>
      <c r="T30" s="279"/>
      <c r="U30" s="120" t="s">
        <v>49</v>
      </c>
      <c r="V30" s="37"/>
      <c r="W30" s="29">
        <v>4</v>
      </c>
      <c r="X30" s="160" t="s">
        <v>195</v>
      </c>
      <c r="Y30" s="161"/>
      <c r="Z30" s="161"/>
      <c r="AA30" s="162"/>
      <c r="AB30" s="121" t="s">
        <v>170</v>
      </c>
    </row>
    <row r="31" spans="1:28" ht="20.25" customHeight="1" thickBot="1" x14ac:dyDescent="0.45">
      <c r="A31" s="59"/>
      <c r="B31" s="58">
        <v>4</v>
      </c>
      <c r="C31" s="188"/>
      <c r="D31" s="189"/>
      <c r="E31" s="189"/>
      <c r="F31" s="190"/>
      <c r="G31" s="51"/>
      <c r="H31" s="38"/>
      <c r="I31" s="32">
        <v>4</v>
      </c>
      <c r="J31" s="348"/>
      <c r="K31" s="349"/>
      <c r="L31" s="349"/>
      <c r="M31" s="350"/>
      <c r="N31" s="124"/>
      <c r="O31" s="38"/>
      <c r="P31" s="32">
        <v>4</v>
      </c>
      <c r="Q31" s="348" t="s">
        <v>169</v>
      </c>
      <c r="R31" s="349"/>
      <c r="S31" s="349"/>
      <c r="T31" s="350"/>
      <c r="U31" s="124" t="s">
        <v>50</v>
      </c>
      <c r="V31" s="38"/>
      <c r="W31" s="32">
        <v>5</v>
      </c>
      <c r="X31" s="301" t="s">
        <v>99</v>
      </c>
      <c r="Y31" s="302"/>
      <c r="Z31" s="180"/>
      <c r="AA31" s="181"/>
      <c r="AB31" s="135" t="s">
        <v>135</v>
      </c>
    </row>
    <row r="32" spans="1:28" ht="18" customHeight="1" x14ac:dyDescent="0.4">
      <c r="A32" s="60" t="s">
        <v>23</v>
      </c>
      <c r="B32" s="35">
        <v>1</v>
      </c>
      <c r="C32" s="201" t="s">
        <v>30</v>
      </c>
      <c r="D32" s="202"/>
      <c r="E32" s="202"/>
      <c r="F32" s="203"/>
      <c r="G32" s="150"/>
      <c r="H32" s="60" t="s">
        <v>23</v>
      </c>
      <c r="I32" s="35">
        <v>1</v>
      </c>
      <c r="J32" s="201" t="s">
        <v>30</v>
      </c>
      <c r="K32" s="202"/>
      <c r="L32" s="202"/>
      <c r="M32" s="203"/>
      <c r="N32" s="153"/>
      <c r="O32" s="60" t="s">
        <v>23</v>
      </c>
      <c r="P32" s="35">
        <v>1</v>
      </c>
      <c r="Q32" s="201" t="s">
        <v>30</v>
      </c>
      <c r="R32" s="202"/>
      <c r="S32" s="202"/>
      <c r="T32" s="203"/>
      <c r="U32" s="153"/>
      <c r="V32" s="60" t="s">
        <v>23</v>
      </c>
      <c r="W32" s="35">
        <v>1</v>
      </c>
      <c r="X32" s="307"/>
      <c r="Y32" s="308"/>
      <c r="Z32" s="308"/>
      <c r="AA32" s="309"/>
      <c r="AB32" s="153"/>
    </row>
    <row r="33" spans="1:28" ht="16.5" customHeight="1" x14ac:dyDescent="0.4">
      <c r="A33" s="41"/>
      <c r="B33" s="29">
        <v>2</v>
      </c>
      <c r="C33" s="330"/>
      <c r="D33" s="331"/>
      <c r="E33" s="331"/>
      <c r="F33" s="332"/>
      <c r="G33" s="149"/>
      <c r="H33" s="41"/>
      <c r="I33" s="29">
        <v>2</v>
      </c>
      <c r="J33" s="182"/>
      <c r="K33" s="183"/>
      <c r="L33" s="183"/>
      <c r="M33" s="184"/>
      <c r="N33" s="120"/>
      <c r="O33" s="41"/>
      <c r="P33" s="29">
        <v>2</v>
      </c>
      <c r="Q33" s="330"/>
      <c r="R33" s="331"/>
      <c r="S33" s="331"/>
      <c r="T33" s="332"/>
      <c r="U33" s="110"/>
      <c r="V33" s="41"/>
      <c r="W33" s="29">
        <v>2</v>
      </c>
      <c r="X33" s="277" t="s">
        <v>107</v>
      </c>
      <c r="Y33" s="278"/>
      <c r="Z33" s="278"/>
      <c r="AA33" s="279"/>
      <c r="AB33" s="149" t="s">
        <v>166</v>
      </c>
    </row>
    <row r="34" spans="1:28" ht="20.25" customHeight="1" thickBot="1" x14ac:dyDescent="0.45">
      <c r="A34" s="45"/>
      <c r="B34" s="32">
        <v>3</v>
      </c>
      <c r="C34" s="303"/>
      <c r="D34" s="333"/>
      <c r="E34" s="333"/>
      <c r="F34" s="334"/>
      <c r="G34" s="152"/>
      <c r="H34" s="45"/>
      <c r="I34" s="32">
        <v>3</v>
      </c>
      <c r="J34" s="303"/>
      <c r="K34" s="333"/>
      <c r="L34" s="333"/>
      <c r="M34" s="334"/>
      <c r="N34" s="110"/>
      <c r="O34" s="45"/>
      <c r="P34" s="32">
        <v>3</v>
      </c>
      <c r="Q34" s="303"/>
      <c r="R34" s="333"/>
      <c r="S34" s="333"/>
      <c r="T34" s="334"/>
      <c r="U34" s="110"/>
      <c r="V34" s="45"/>
      <c r="W34" s="32">
        <v>3</v>
      </c>
      <c r="X34" s="303"/>
      <c r="Y34" s="304"/>
      <c r="Z34" s="305" t="s">
        <v>45</v>
      </c>
      <c r="AA34" s="306"/>
      <c r="AB34" s="148" t="s">
        <v>135</v>
      </c>
    </row>
    <row r="35" spans="1:28" s="67" customFormat="1" ht="9.75" customHeight="1" x14ac:dyDescent="0.4">
      <c r="A35" s="103"/>
      <c r="B35" s="104"/>
      <c r="C35" s="107"/>
      <c r="D35" s="108"/>
      <c r="E35" s="108"/>
      <c r="F35" s="109"/>
      <c r="G35" s="151"/>
      <c r="H35" s="103"/>
      <c r="I35" s="104"/>
      <c r="J35" s="351"/>
      <c r="K35" s="352"/>
      <c r="L35" s="352"/>
      <c r="M35" s="353"/>
      <c r="N35" s="80"/>
      <c r="O35" s="103"/>
      <c r="P35" s="104"/>
      <c r="Q35" s="291"/>
      <c r="R35" s="292"/>
      <c r="S35" s="292"/>
      <c r="T35" s="293"/>
      <c r="U35" s="80"/>
      <c r="V35" s="103"/>
      <c r="W35" s="104"/>
      <c r="X35" s="291"/>
      <c r="Y35" s="292"/>
      <c r="Z35" s="292"/>
      <c r="AA35" s="293"/>
      <c r="AB35" s="80"/>
    </row>
    <row r="36" spans="1:28" ht="17.25" customHeight="1" x14ac:dyDescent="0.4">
      <c r="A36" s="41"/>
      <c r="B36" s="69" t="s">
        <v>28</v>
      </c>
      <c r="C36" s="288" t="s">
        <v>47</v>
      </c>
      <c r="D36" s="289"/>
      <c r="E36" s="289"/>
      <c r="F36" s="290"/>
      <c r="G36" s="121" t="s">
        <v>164</v>
      </c>
      <c r="H36" s="41"/>
      <c r="I36" s="69" t="s">
        <v>28</v>
      </c>
      <c r="J36" s="288" t="s">
        <v>47</v>
      </c>
      <c r="K36" s="289"/>
      <c r="L36" s="289"/>
      <c r="M36" s="290"/>
      <c r="N36" s="121" t="s">
        <v>103</v>
      </c>
      <c r="O36" s="41"/>
      <c r="P36" s="69" t="s">
        <v>28</v>
      </c>
      <c r="Q36" s="288" t="s">
        <v>47</v>
      </c>
      <c r="R36" s="289"/>
      <c r="S36" s="289"/>
      <c r="T36" s="290"/>
      <c r="U36" s="121" t="s">
        <v>103</v>
      </c>
      <c r="V36" s="41"/>
      <c r="W36" s="69" t="s">
        <v>28</v>
      </c>
      <c r="X36" s="288" t="s">
        <v>47</v>
      </c>
      <c r="Y36" s="289"/>
      <c r="Z36" s="289"/>
      <c r="AA36" s="290"/>
      <c r="AB36" s="121" t="s">
        <v>103</v>
      </c>
    </row>
    <row r="37" spans="1:28" ht="17.25" customHeight="1" x14ac:dyDescent="0.4">
      <c r="A37" s="62"/>
      <c r="B37" s="70" t="s">
        <v>28</v>
      </c>
      <c r="C37" s="288" t="s">
        <v>165</v>
      </c>
      <c r="D37" s="289"/>
      <c r="E37" s="289"/>
      <c r="F37" s="290"/>
      <c r="G37" s="122" t="s">
        <v>39</v>
      </c>
      <c r="H37" s="62"/>
      <c r="I37" s="70" t="s">
        <v>28</v>
      </c>
      <c r="J37" s="288" t="s">
        <v>165</v>
      </c>
      <c r="K37" s="289"/>
      <c r="L37" s="289"/>
      <c r="M37" s="290"/>
      <c r="N37" s="122" t="s">
        <v>39</v>
      </c>
      <c r="O37" s="62"/>
      <c r="P37" s="70" t="s">
        <v>28</v>
      </c>
      <c r="Q37" s="288" t="s">
        <v>165</v>
      </c>
      <c r="R37" s="289"/>
      <c r="S37" s="289"/>
      <c r="T37" s="290"/>
      <c r="U37" s="122" t="s">
        <v>140</v>
      </c>
      <c r="V37" s="62"/>
      <c r="W37" s="70" t="s">
        <v>28</v>
      </c>
      <c r="X37" s="288" t="s">
        <v>165</v>
      </c>
      <c r="Y37" s="289"/>
      <c r="Z37" s="289"/>
      <c r="AA37" s="290"/>
      <c r="AB37" s="122" t="s">
        <v>140</v>
      </c>
    </row>
    <row r="38" spans="1:28" ht="17.25" customHeight="1" thickBot="1" x14ac:dyDescent="0.45">
      <c r="A38" s="42"/>
      <c r="B38" s="43" t="s">
        <v>28</v>
      </c>
      <c r="C38" s="251" t="s">
        <v>46</v>
      </c>
      <c r="D38" s="252"/>
      <c r="E38" s="252"/>
      <c r="F38" s="253"/>
      <c r="G38" s="135" t="s">
        <v>162</v>
      </c>
      <c r="H38" s="42"/>
      <c r="I38" s="43" t="s">
        <v>28</v>
      </c>
      <c r="J38" s="251" t="s">
        <v>46</v>
      </c>
      <c r="K38" s="252"/>
      <c r="L38" s="252"/>
      <c r="M38" s="253"/>
      <c r="N38" s="135" t="s">
        <v>162</v>
      </c>
      <c r="O38" s="42"/>
      <c r="P38" s="43" t="s">
        <v>28</v>
      </c>
      <c r="Q38" s="251" t="s">
        <v>46</v>
      </c>
      <c r="R38" s="252"/>
      <c r="S38" s="252"/>
      <c r="T38" s="253"/>
      <c r="U38" s="135" t="s">
        <v>162</v>
      </c>
      <c r="V38" s="44"/>
      <c r="W38" s="43" t="s">
        <v>28</v>
      </c>
      <c r="X38" s="251" t="s">
        <v>46</v>
      </c>
      <c r="Y38" s="252"/>
      <c r="Z38" s="252"/>
      <c r="AA38" s="253"/>
      <c r="AB38" s="135" t="s">
        <v>162</v>
      </c>
    </row>
    <row r="39" spans="1:28" ht="28.5" customHeight="1" x14ac:dyDescent="0.4">
      <c r="A39" s="85" t="s">
        <v>102</v>
      </c>
      <c r="B39" s="86"/>
      <c r="C39" s="344" t="s">
        <v>161</v>
      </c>
      <c r="D39" s="344"/>
      <c r="E39" s="344"/>
      <c r="F39" s="344"/>
      <c r="H39" s="85" t="s">
        <v>102</v>
      </c>
      <c r="I39" s="86"/>
      <c r="J39" s="344" t="s">
        <v>161</v>
      </c>
      <c r="K39" s="344"/>
      <c r="L39" s="344"/>
      <c r="M39" s="344"/>
      <c r="O39" s="85" t="s">
        <v>102</v>
      </c>
      <c r="P39" s="86"/>
      <c r="Q39" s="344" t="s">
        <v>161</v>
      </c>
      <c r="R39" s="344"/>
      <c r="S39" s="344"/>
      <c r="T39" s="344"/>
      <c r="V39" s="85" t="s">
        <v>102</v>
      </c>
      <c r="W39" s="86"/>
      <c r="X39" s="344" t="s">
        <v>161</v>
      </c>
      <c r="Y39" s="344"/>
      <c r="Z39" s="344"/>
      <c r="AA39" s="344"/>
    </row>
    <row r="40" spans="1:28" x14ac:dyDescent="0.4">
      <c r="B40" s="2" t="s">
        <v>130</v>
      </c>
      <c r="E40" s="2" t="s">
        <v>63</v>
      </c>
      <c r="I40" s="2" t="s">
        <v>130</v>
      </c>
      <c r="L40" s="2" t="s">
        <v>63</v>
      </c>
      <c r="P40" s="2" t="s">
        <v>130</v>
      </c>
      <c r="S40" s="2" t="s">
        <v>63</v>
      </c>
      <c r="W40" s="2" t="s">
        <v>130</v>
      </c>
      <c r="Z40" s="2" t="s">
        <v>63</v>
      </c>
    </row>
    <row r="41" spans="1:28" x14ac:dyDescent="0.4">
      <c r="B41" s="2" t="s">
        <v>13</v>
      </c>
      <c r="E41" s="2" t="s">
        <v>131</v>
      </c>
      <c r="I41" s="2" t="s">
        <v>13</v>
      </c>
      <c r="L41" s="2" t="s">
        <v>131</v>
      </c>
      <c r="P41" s="2" t="s">
        <v>13</v>
      </c>
      <c r="S41" s="2" t="s">
        <v>63</v>
      </c>
      <c r="W41" s="2" t="s">
        <v>13</v>
      </c>
      <c r="Z41" s="2" t="s">
        <v>63</v>
      </c>
    </row>
  </sheetData>
  <mergeCells count="126">
    <mergeCell ref="C39:F39"/>
    <mergeCell ref="J39:M39"/>
    <mergeCell ref="Q39:T39"/>
    <mergeCell ref="X39:AA39"/>
    <mergeCell ref="C17:F17"/>
    <mergeCell ref="J18:M18"/>
    <mergeCell ref="Q17:T17"/>
    <mergeCell ref="J16:M16"/>
    <mergeCell ref="X17:AA17"/>
    <mergeCell ref="X18:AA18"/>
    <mergeCell ref="X19:AA19"/>
    <mergeCell ref="Q38:T38"/>
    <mergeCell ref="Q23:T23"/>
    <mergeCell ref="Q30:T30"/>
    <mergeCell ref="Q31:T31"/>
    <mergeCell ref="J30:M30"/>
    <mergeCell ref="J31:M31"/>
    <mergeCell ref="Q36:T36"/>
    <mergeCell ref="Q37:T37"/>
    <mergeCell ref="J36:M36"/>
    <mergeCell ref="J26:M26"/>
    <mergeCell ref="J27:M27"/>
    <mergeCell ref="J35:M35"/>
    <mergeCell ref="Q35:T35"/>
    <mergeCell ref="Q34:T34"/>
    <mergeCell ref="Q33:T33"/>
    <mergeCell ref="J28:M28"/>
    <mergeCell ref="Q29:T29"/>
    <mergeCell ref="J33:M33"/>
    <mergeCell ref="Q28:T28"/>
    <mergeCell ref="Q27:T27"/>
    <mergeCell ref="Q32:T32"/>
    <mergeCell ref="J38:M38"/>
    <mergeCell ref="C33:F33"/>
    <mergeCell ref="J29:M29"/>
    <mergeCell ref="C36:F36"/>
    <mergeCell ref="C38:F38"/>
    <mergeCell ref="J32:M32"/>
    <mergeCell ref="C37:F37"/>
    <mergeCell ref="J37:M37"/>
    <mergeCell ref="C34:F34"/>
    <mergeCell ref="J34:M34"/>
    <mergeCell ref="C32:F32"/>
    <mergeCell ref="C29:F29"/>
    <mergeCell ref="C31:F31"/>
    <mergeCell ref="C30:F30"/>
    <mergeCell ref="E16:F16"/>
    <mergeCell ref="Q20:T20"/>
    <mergeCell ref="J23:M23"/>
    <mergeCell ref="C26:F26"/>
    <mergeCell ref="C20:F20"/>
    <mergeCell ref="C19:F19"/>
    <mergeCell ref="C18:F18"/>
    <mergeCell ref="C24:F24"/>
    <mergeCell ref="Q25:T25"/>
    <mergeCell ref="J25:M25"/>
    <mergeCell ref="J22:M22"/>
    <mergeCell ref="Q22:T22"/>
    <mergeCell ref="J19:M19"/>
    <mergeCell ref="J17:K17"/>
    <mergeCell ref="L17:M17"/>
    <mergeCell ref="Q16:T16"/>
    <mergeCell ref="Q21:T21"/>
    <mergeCell ref="J21:M21"/>
    <mergeCell ref="X25:AA25"/>
    <mergeCell ref="X26:AA26"/>
    <mergeCell ref="X20:AA20"/>
    <mergeCell ref="X21:AA21"/>
    <mergeCell ref="J10:M10"/>
    <mergeCell ref="Q10:T10"/>
    <mergeCell ref="Q14:T14"/>
    <mergeCell ref="J12:M12"/>
    <mergeCell ref="C28:F28"/>
    <mergeCell ref="Q15:T15"/>
    <mergeCell ref="C10:D10"/>
    <mergeCell ref="E10:F10"/>
    <mergeCell ref="C14:F14"/>
    <mergeCell ref="J14:M14"/>
    <mergeCell ref="J15:M15"/>
    <mergeCell ref="Q12:T12"/>
    <mergeCell ref="Q13:T13"/>
    <mergeCell ref="C12:F12"/>
    <mergeCell ref="J13:M13"/>
    <mergeCell ref="C13:F13"/>
    <mergeCell ref="C15:F15"/>
    <mergeCell ref="C22:F22"/>
    <mergeCell ref="X16:AA16"/>
    <mergeCell ref="C16:D16"/>
    <mergeCell ref="X36:AA36"/>
    <mergeCell ref="X37:AA37"/>
    <mergeCell ref="X38:AA38"/>
    <mergeCell ref="X33:AA33"/>
    <mergeCell ref="X35:AA35"/>
    <mergeCell ref="X27:AA27"/>
    <mergeCell ref="X28:AA28"/>
    <mergeCell ref="X29:AA29"/>
    <mergeCell ref="X30:AA30"/>
    <mergeCell ref="X31:Y31"/>
    <mergeCell ref="Z31:AA31"/>
    <mergeCell ref="X34:Y34"/>
    <mergeCell ref="Z34:AA34"/>
    <mergeCell ref="X32:AA32"/>
    <mergeCell ref="C9:F9"/>
    <mergeCell ref="J9:M9"/>
    <mergeCell ref="Q9:T9"/>
    <mergeCell ref="X9:AA9"/>
    <mergeCell ref="Q24:T24"/>
    <mergeCell ref="C21:F21"/>
    <mergeCell ref="C23:F23"/>
    <mergeCell ref="C27:F27"/>
    <mergeCell ref="J24:M24"/>
    <mergeCell ref="J20:M20"/>
    <mergeCell ref="C25:F25"/>
    <mergeCell ref="X10:AA10"/>
    <mergeCell ref="X12:AA12"/>
    <mergeCell ref="X13:AA13"/>
    <mergeCell ref="X14:AA14"/>
    <mergeCell ref="X15:AA15"/>
    <mergeCell ref="X22:AA22"/>
    <mergeCell ref="X23:AA23"/>
    <mergeCell ref="X24:AA24"/>
    <mergeCell ref="Q26:R26"/>
    <mergeCell ref="S26:T26"/>
    <mergeCell ref="Q19:T19"/>
    <mergeCell ref="Q18:R18"/>
    <mergeCell ref="S18:T18"/>
  </mergeCells>
  <conditionalFormatting sqref="C10 E10">
    <cfRule type="expression" priority="1">
      <formula>IF(#REF!=0,"",#REF!)</formula>
    </cfRule>
  </conditionalFormatting>
  <dataValidations count="3">
    <dataValidation allowBlank="1" showDropDown="1" showInputMessage="1" showErrorMessage="1" sqref="Q7 C7 J7 X7"/>
    <dataValidation type="list" allowBlank="1" showInputMessage="1" showErrorMessage="1" sqref="E6 L6 S6 Z6">
      <formula1>"осенний, весенний"</formula1>
    </dataValidation>
    <dataValidation type="list" allowBlank="1" showInputMessage="1" showErrorMessage="1" sqref="J6 Q6 X6 C6">
      <formula1>"2025-2026"</formula1>
    </dataValidation>
  </dataValidations>
  <pageMargins left="0.70866141732283472" right="0.70866141732283472" top="0.74803149606299213" bottom="0.74803149606299213" header="0.31496062992125984" footer="0.31496062992125984"/>
  <pageSetup paperSize="9" scale="9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61DF32E5-4D2A-4F82-A77B-D9E3921D6F60}">
            <xm:f>IF('1 курс'!$C$9=0,"",'1 курс'!$C$9)</xm:f>
            <x14:dxf/>
          </x14:cfRule>
          <xm:sqref>J10</xm:sqref>
        </x14:conditionalFormatting>
        <x14:conditionalFormatting xmlns:xm="http://schemas.microsoft.com/office/excel/2006/main">
          <x14:cfRule type="expression" priority="8" id="{A9F24813-E490-4EB1-B07F-14369E97DC6C}">
            <xm:f>IF('1 курс'!$C$9=0,"",'1 курс'!$C$9)</xm:f>
            <x14:dxf/>
          </x14:cfRule>
          <xm:sqref>Q10</xm:sqref>
        </x14:conditionalFormatting>
        <x14:conditionalFormatting xmlns:xm="http://schemas.microsoft.com/office/excel/2006/main">
          <x14:cfRule type="expression" priority="6" id="{98003E87-BEA8-4DC4-99A3-0797B789D6C0}">
            <xm:f>IF('1 курс'!$C$9=0,"",'1 курс'!$C$9)</xm:f>
            <x14:dxf/>
          </x14:cfRule>
          <xm:sqref>X10</xm:sqref>
        </x14:conditionalFormatting>
        <x14:conditionalFormatting xmlns:xm="http://schemas.microsoft.com/office/excel/2006/main">
          <x14:cfRule type="expression" priority="5" id="{66344798-F491-43A7-89F3-AB601219B7EA}">
            <xm:f>IF('1 курс'!$C$9=0,"",'1 курс'!$C$9)</xm:f>
            <x14:dxf/>
          </x14:cfRule>
          <xm:sqref>C9</xm:sqref>
        </x14:conditionalFormatting>
        <x14:conditionalFormatting xmlns:xm="http://schemas.microsoft.com/office/excel/2006/main">
          <x14:cfRule type="expression" priority="4" id="{A71B6FF8-C51C-45DE-88B0-B9E43721D7EF}">
            <xm:f>IF('1 курс'!$C$9=0,"",'1 курс'!$C$9)</xm:f>
            <x14:dxf/>
          </x14:cfRule>
          <xm:sqref>J9</xm:sqref>
        </x14:conditionalFormatting>
        <x14:conditionalFormatting xmlns:xm="http://schemas.microsoft.com/office/excel/2006/main">
          <x14:cfRule type="expression" priority="3" id="{DC4DC97D-BC82-4F1B-BDA1-D244D431B6C4}">
            <xm:f>IF('1 курс'!$C$9=0,"",'1 курс'!$C$9)</xm:f>
            <x14:dxf/>
          </x14:cfRule>
          <xm:sqref>Q9</xm:sqref>
        </x14:conditionalFormatting>
        <x14:conditionalFormatting xmlns:xm="http://schemas.microsoft.com/office/excel/2006/main">
          <x14:cfRule type="expression" priority="2" id="{27DD7B6D-78D3-4BC8-AF62-BB19EC46F94C}">
            <xm:f>IF('1 курс'!$C$9=0,"",'1 курс'!$C$9)</xm:f>
            <x14:dxf/>
          </x14:cfRule>
          <xm:sqref>X9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1"/>
  <sheetViews>
    <sheetView topLeftCell="N7" zoomScaleNormal="100" workbookViewId="0">
      <selection activeCell="X29" sqref="X29:AA29"/>
    </sheetView>
  </sheetViews>
  <sheetFormatPr defaultColWidth="9.140625" defaultRowHeight="18.75" x14ac:dyDescent="0.4"/>
  <cols>
    <col min="1" max="1" width="6.85546875" style="2" customWidth="1"/>
    <col min="2" max="2" width="9.7109375" style="2" customWidth="1"/>
    <col min="3" max="3" width="20" style="2" customWidth="1"/>
    <col min="4" max="4" width="19.28515625" style="2" customWidth="1"/>
    <col min="5" max="5" width="20.5703125" style="2" customWidth="1"/>
    <col min="6" max="6" width="20" style="2" customWidth="1"/>
    <col min="7" max="7" width="18.140625" style="2" customWidth="1"/>
    <col min="8" max="8" width="6.85546875" style="2" customWidth="1"/>
    <col min="9" max="9" width="9.42578125" style="2" customWidth="1"/>
    <col min="10" max="12" width="20" style="2" customWidth="1"/>
    <col min="13" max="13" width="19.85546875" style="2" customWidth="1"/>
    <col min="14" max="14" width="18.140625" style="2" customWidth="1"/>
    <col min="15" max="15" width="6.85546875" style="2" customWidth="1"/>
    <col min="16" max="16" width="10.7109375" style="2" customWidth="1"/>
    <col min="17" max="18" width="20" style="2" customWidth="1"/>
    <col min="19" max="19" width="19.7109375" style="2" customWidth="1"/>
    <col min="20" max="20" width="20.7109375" style="2" customWidth="1"/>
    <col min="21" max="21" width="18.140625" style="2" customWidth="1"/>
    <col min="22" max="22" width="6.85546875" style="2" customWidth="1"/>
    <col min="23" max="23" width="10.7109375" style="2" customWidth="1"/>
    <col min="24" max="24" width="20" style="2" customWidth="1"/>
    <col min="25" max="25" width="19.5703125" style="2" customWidth="1"/>
    <col min="26" max="26" width="20" style="2" customWidth="1"/>
    <col min="27" max="27" width="20.28515625" style="2" customWidth="1"/>
    <col min="28" max="28" width="18.140625" style="2" customWidth="1"/>
    <col min="29" max="16384" width="9.140625" style="2"/>
  </cols>
  <sheetData>
    <row r="1" spans="1:28" x14ac:dyDescent="0.4">
      <c r="A1" s="1" t="s">
        <v>7</v>
      </c>
      <c r="F1" s="3" t="s">
        <v>8</v>
      </c>
      <c r="H1" s="1" t="s">
        <v>7</v>
      </c>
      <c r="M1" s="3" t="s">
        <v>8</v>
      </c>
      <c r="O1" s="1" t="s">
        <v>7</v>
      </c>
      <c r="T1" s="3" t="s">
        <v>8</v>
      </c>
      <c r="V1" s="1" t="s">
        <v>7</v>
      </c>
      <c r="AA1" s="3" t="s">
        <v>8</v>
      </c>
    </row>
    <row r="2" spans="1:28" x14ac:dyDescent="0.4">
      <c r="A2" s="1" t="s">
        <v>121</v>
      </c>
      <c r="F2" s="3" t="s">
        <v>9</v>
      </c>
      <c r="H2" s="1" t="s">
        <v>121</v>
      </c>
      <c r="M2" s="3" t="s">
        <v>9</v>
      </c>
      <c r="O2" s="1" t="s">
        <v>121</v>
      </c>
      <c r="T2" s="3" t="s">
        <v>9</v>
      </c>
      <c r="V2" s="1" t="s">
        <v>121</v>
      </c>
      <c r="AA2" s="3" t="s">
        <v>9</v>
      </c>
    </row>
    <row r="3" spans="1:28" x14ac:dyDescent="0.4">
      <c r="A3" s="1" t="s">
        <v>10</v>
      </c>
      <c r="F3" s="3" t="s">
        <v>11</v>
      </c>
      <c r="H3" s="1" t="s">
        <v>10</v>
      </c>
      <c r="M3" s="3" t="s">
        <v>11</v>
      </c>
      <c r="O3" s="1" t="s">
        <v>10</v>
      </c>
      <c r="T3" s="3" t="s">
        <v>11</v>
      </c>
      <c r="V3" s="1" t="s">
        <v>10</v>
      </c>
      <c r="AA3" s="3" t="s">
        <v>11</v>
      </c>
    </row>
    <row r="4" spans="1:28" x14ac:dyDescent="0.4">
      <c r="A4" s="1"/>
      <c r="F4" s="3" t="s">
        <v>127</v>
      </c>
      <c r="H4" s="1"/>
      <c r="M4" s="3" t="s">
        <v>127</v>
      </c>
      <c r="O4" s="1"/>
      <c r="T4" s="3" t="s">
        <v>127</v>
      </c>
      <c r="V4" s="1"/>
      <c r="AA4" s="3" t="s">
        <v>127</v>
      </c>
    </row>
    <row r="5" spans="1:28" x14ac:dyDescent="0.4">
      <c r="A5" s="4" t="s">
        <v>12</v>
      </c>
      <c r="B5" s="5"/>
      <c r="C5" s="5"/>
      <c r="D5" s="6"/>
      <c r="E5" s="5"/>
      <c r="F5" s="7"/>
      <c r="H5" s="4" t="s">
        <v>12</v>
      </c>
      <c r="I5" s="5"/>
      <c r="J5" s="5"/>
      <c r="K5" s="6"/>
      <c r="L5" s="5"/>
      <c r="M5" s="7"/>
      <c r="O5" s="4" t="s">
        <v>12</v>
      </c>
      <c r="P5" s="5"/>
      <c r="Q5" s="5"/>
      <c r="R5" s="6"/>
      <c r="S5" s="5"/>
      <c r="T5" s="7"/>
      <c r="V5" s="4" t="s">
        <v>12</v>
      </c>
      <c r="W5" s="5"/>
      <c r="X5" s="5"/>
      <c r="Y5" s="6"/>
      <c r="Z5" s="5"/>
      <c r="AA5" s="7"/>
    </row>
    <row r="6" spans="1:28" x14ac:dyDescent="0.4">
      <c r="A6" s="8" t="s">
        <v>1</v>
      </c>
      <c r="C6" s="9" t="s">
        <v>123</v>
      </c>
      <c r="D6" s="9"/>
      <c r="E6" s="10" t="s">
        <v>31</v>
      </c>
      <c r="F6" s="11" t="s">
        <v>2</v>
      </c>
      <c r="H6" s="8" t="s">
        <v>1</v>
      </c>
      <c r="J6" s="9" t="s">
        <v>123</v>
      </c>
      <c r="K6" s="9"/>
      <c r="L6" s="10" t="s">
        <v>31</v>
      </c>
      <c r="M6" s="11" t="s">
        <v>2</v>
      </c>
      <c r="O6" s="8" t="s">
        <v>1</v>
      </c>
      <c r="Q6" s="9" t="s">
        <v>123</v>
      </c>
      <c r="R6" s="9"/>
      <c r="S6" s="10" t="s">
        <v>31</v>
      </c>
      <c r="T6" s="11" t="s">
        <v>2</v>
      </c>
      <c r="V6" s="8" t="s">
        <v>1</v>
      </c>
      <c r="X6" s="9" t="s">
        <v>123</v>
      </c>
      <c r="Y6" s="9"/>
      <c r="Z6" s="10" t="s">
        <v>31</v>
      </c>
      <c r="AA6" s="11" t="s">
        <v>2</v>
      </c>
    </row>
    <row r="7" spans="1:28" x14ac:dyDescent="0.4">
      <c r="A7" s="12" t="s">
        <v>3</v>
      </c>
      <c r="C7" s="13" t="s">
        <v>4</v>
      </c>
      <c r="D7" s="13"/>
      <c r="E7" s="9">
        <v>3</v>
      </c>
      <c r="F7" s="11" t="s">
        <v>5</v>
      </c>
      <c r="H7" s="12" t="s">
        <v>3</v>
      </c>
      <c r="J7" s="13" t="str">
        <f>'2 курс'!J7</f>
        <v>государства и права</v>
      </c>
      <c r="K7" s="13"/>
      <c r="L7" s="9">
        <f>$E$7</f>
        <v>3</v>
      </c>
      <c r="M7" s="11" t="s">
        <v>5</v>
      </c>
      <c r="O7" s="12" t="s">
        <v>3</v>
      </c>
      <c r="Q7" s="13" t="str">
        <f t="shared" ref="Q7:Q8" si="0">J7</f>
        <v>государства и права</v>
      </c>
      <c r="R7" s="13"/>
      <c r="S7" s="9">
        <f>$L$7</f>
        <v>3</v>
      </c>
      <c r="T7" s="11" t="s">
        <v>5</v>
      </c>
      <c r="V7" s="12" t="s">
        <v>3</v>
      </c>
      <c r="X7" s="13" t="str">
        <f t="shared" ref="X7:X8" si="1">Q7</f>
        <v>государства и права</v>
      </c>
      <c r="Y7" s="13"/>
      <c r="Z7" s="9">
        <f>$L$7</f>
        <v>3</v>
      </c>
      <c r="AA7" s="11" t="s">
        <v>5</v>
      </c>
    </row>
    <row r="8" spans="1:28" x14ac:dyDescent="0.4">
      <c r="A8" s="12" t="s">
        <v>15</v>
      </c>
      <c r="C8" s="14" t="str">
        <f>'1 курс'!$C$8</f>
        <v>40.03.01 Юриспруденция</v>
      </c>
      <c r="D8" s="14"/>
      <c r="E8" s="15" t="s">
        <v>64</v>
      </c>
      <c r="F8" s="16" t="s">
        <v>6</v>
      </c>
      <c r="H8" s="12" t="s">
        <v>15</v>
      </c>
      <c r="J8" s="14" t="str">
        <f>'2 курс'!J8</f>
        <v>40.03.01 Юриспруденция</v>
      </c>
      <c r="K8" s="14"/>
      <c r="L8" s="15" t="s">
        <v>65</v>
      </c>
      <c r="M8" s="16" t="s">
        <v>6</v>
      </c>
      <c r="O8" s="12" t="s">
        <v>15</v>
      </c>
      <c r="Q8" s="14" t="str">
        <f t="shared" si="0"/>
        <v>40.03.01 Юриспруденция</v>
      </c>
      <c r="R8" s="14"/>
      <c r="S8" s="15" t="s">
        <v>66</v>
      </c>
      <c r="T8" s="16" t="s">
        <v>6</v>
      </c>
      <c r="V8" s="12" t="s">
        <v>15</v>
      </c>
      <c r="X8" s="14" t="str">
        <f t="shared" si="1"/>
        <v>40.03.01 Юриспруденция</v>
      </c>
      <c r="Y8" s="14"/>
      <c r="Z8" s="15" t="s">
        <v>90</v>
      </c>
      <c r="AA8" s="16" t="s">
        <v>6</v>
      </c>
    </row>
    <row r="9" spans="1:28" ht="16.5" customHeight="1" x14ac:dyDescent="0.4">
      <c r="A9" s="71" t="s">
        <v>24</v>
      </c>
      <c r="C9" s="263" t="s">
        <v>87</v>
      </c>
      <c r="D9" s="263"/>
      <c r="E9" s="263"/>
      <c r="F9" s="263"/>
      <c r="H9" s="71" t="s">
        <v>24</v>
      </c>
      <c r="J9" s="263" t="s">
        <v>88</v>
      </c>
      <c r="K9" s="263"/>
      <c r="L9" s="263"/>
      <c r="M9" s="263"/>
      <c r="O9" s="71" t="s">
        <v>24</v>
      </c>
      <c r="Q9" s="263" t="s">
        <v>89</v>
      </c>
      <c r="R9" s="263"/>
      <c r="S9" s="263"/>
      <c r="T9" s="263"/>
      <c r="V9" s="71" t="s">
        <v>24</v>
      </c>
      <c r="X9" s="263" t="s">
        <v>89</v>
      </c>
      <c r="Y9" s="263"/>
      <c r="Z9" s="263"/>
      <c r="AA9" s="263"/>
    </row>
    <row r="10" spans="1:28" ht="16.5" customHeight="1" thickBot="1" x14ac:dyDescent="0.45">
      <c r="A10" s="71" t="s">
        <v>33</v>
      </c>
      <c r="C10" s="276" t="s">
        <v>133</v>
      </c>
      <c r="D10" s="276"/>
      <c r="E10" s="276"/>
      <c r="F10" s="276"/>
      <c r="H10" s="71" t="s">
        <v>33</v>
      </c>
      <c r="J10" s="276" t="s">
        <v>133</v>
      </c>
      <c r="K10" s="276"/>
      <c r="L10" s="276"/>
      <c r="M10" s="276"/>
      <c r="O10" s="71" t="s">
        <v>33</v>
      </c>
      <c r="Q10" s="276" t="s">
        <v>133</v>
      </c>
      <c r="R10" s="276"/>
      <c r="S10" s="276"/>
      <c r="T10" s="276"/>
      <c r="V10" s="71" t="s">
        <v>33</v>
      </c>
      <c r="X10" s="276" t="s">
        <v>133</v>
      </c>
      <c r="Y10" s="276"/>
      <c r="Z10" s="276"/>
      <c r="AA10" s="276"/>
    </row>
    <row r="11" spans="1:28" ht="19.5" thickBot="1" x14ac:dyDescent="0.45">
      <c r="A11" s="18" t="s">
        <v>17</v>
      </c>
      <c r="B11" s="19" t="s">
        <v>0</v>
      </c>
      <c r="C11" s="20" t="s">
        <v>25</v>
      </c>
      <c r="D11" s="24"/>
      <c r="E11" s="21"/>
      <c r="F11" s="22"/>
      <c r="G11" s="23" t="s">
        <v>14</v>
      </c>
      <c r="H11" s="18" t="s">
        <v>17</v>
      </c>
      <c r="I11" s="19" t="s">
        <v>0</v>
      </c>
      <c r="J11" s="92" t="s">
        <v>25</v>
      </c>
      <c r="K11" s="93"/>
      <c r="L11" s="94"/>
      <c r="M11" s="95"/>
      <c r="N11" s="23" t="s">
        <v>14</v>
      </c>
      <c r="O11" s="18" t="s">
        <v>17</v>
      </c>
      <c r="P11" s="19" t="s">
        <v>0</v>
      </c>
      <c r="Q11" s="20" t="s">
        <v>25</v>
      </c>
      <c r="R11" s="24"/>
      <c r="S11" s="21"/>
      <c r="T11" s="22"/>
      <c r="U11" s="23" t="s">
        <v>14</v>
      </c>
      <c r="V11" s="18" t="s">
        <v>17</v>
      </c>
      <c r="W11" s="19" t="s">
        <v>0</v>
      </c>
      <c r="X11" s="20" t="s">
        <v>25</v>
      </c>
      <c r="Y11" s="24"/>
      <c r="Z11" s="21"/>
      <c r="AA11" s="22"/>
      <c r="AB11" s="23" t="s">
        <v>14</v>
      </c>
    </row>
    <row r="12" spans="1:28" ht="18" customHeight="1" x14ac:dyDescent="0.4">
      <c r="A12" s="25" t="s">
        <v>18</v>
      </c>
      <c r="B12" s="26">
        <v>2</v>
      </c>
      <c r="C12" s="233"/>
      <c r="D12" s="234"/>
      <c r="E12" s="234"/>
      <c r="F12" s="235"/>
      <c r="G12" s="27"/>
      <c r="H12" s="25" t="s">
        <v>18</v>
      </c>
      <c r="I12" s="26">
        <v>2</v>
      </c>
      <c r="J12" s="319" t="s">
        <v>205</v>
      </c>
      <c r="K12" s="320"/>
      <c r="L12" s="320"/>
      <c r="M12" s="321"/>
      <c r="N12" s="128" t="s">
        <v>56</v>
      </c>
      <c r="O12" s="89" t="s">
        <v>18</v>
      </c>
      <c r="P12" s="26">
        <v>2</v>
      </c>
      <c r="Q12" s="233"/>
      <c r="R12" s="234"/>
      <c r="S12" s="234"/>
      <c r="T12" s="235"/>
      <c r="U12" s="128"/>
      <c r="V12" s="89" t="s">
        <v>18</v>
      </c>
      <c r="W12" s="26">
        <v>2</v>
      </c>
      <c r="X12" s="163"/>
      <c r="Y12" s="164"/>
      <c r="Z12" s="164"/>
      <c r="AA12" s="165"/>
      <c r="AB12" s="128"/>
    </row>
    <row r="13" spans="1:28" ht="19.5" customHeight="1" x14ac:dyDescent="0.4">
      <c r="A13" s="28"/>
      <c r="B13" s="29">
        <v>3</v>
      </c>
      <c r="C13" s="277" t="s">
        <v>200</v>
      </c>
      <c r="D13" s="278"/>
      <c r="E13" s="278"/>
      <c r="F13" s="279"/>
      <c r="G13" s="120" t="s">
        <v>56</v>
      </c>
      <c r="H13" s="28"/>
      <c r="I13" s="29">
        <v>3</v>
      </c>
      <c r="J13" s="163" t="s">
        <v>206</v>
      </c>
      <c r="K13" s="164"/>
      <c r="L13" s="164"/>
      <c r="M13" s="165"/>
      <c r="N13" s="120" t="s">
        <v>52</v>
      </c>
      <c r="O13" s="90"/>
      <c r="P13" s="29">
        <v>3</v>
      </c>
      <c r="Q13" s="163" t="s">
        <v>225</v>
      </c>
      <c r="R13" s="164"/>
      <c r="S13" s="164"/>
      <c r="T13" s="165"/>
      <c r="U13" s="120" t="s">
        <v>204</v>
      </c>
      <c r="V13" s="90"/>
      <c r="W13" s="29">
        <v>3</v>
      </c>
      <c r="X13" s="163" t="s">
        <v>228</v>
      </c>
      <c r="Y13" s="164"/>
      <c r="Z13" s="164"/>
      <c r="AA13" s="165"/>
      <c r="AB13" s="120" t="s">
        <v>204</v>
      </c>
    </row>
    <row r="14" spans="1:28" ht="18.75" customHeight="1" x14ac:dyDescent="0.4">
      <c r="A14" s="28"/>
      <c r="B14" s="29">
        <v>4</v>
      </c>
      <c r="C14" s="277" t="s">
        <v>51</v>
      </c>
      <c r="D14" s="278"/>
      <c r="E14" s="278"/>
      <c r="F14" s="279"/>
      <c r="G14" s="120" t="s">
        <v>79</v>
      </c>
      <c r="H14" s="28"/>
      <c r="I14" s="29">
        <v>4</v>
      </c>
      <c r="J14" s="405" t="s">
        <v>51</v>
      </c>
      <c r="K14" s="406"/>
      <c r="L14" s="406"/>
      <c r="M14" s="407"/>
      <c r="N14" s="120" t="s">
        <v>79</v>
      </c>
      <c r="O14" s="90"/>
      <c r="P14" s="29">
        <v>4</v>
      </c>
      <c r="Q14" s="277" t="s">
        <v>51</v>
      </c>
      <c r="R14" s="278"/>
      <c r="S14" s="278"/>
      <c r="T14" s="279"/>
      <c r="U14" s="120" t="s">
        <v>79</v>
      </c>
      <c r="V14" s="90"/>
      <c r="W14" s="29">
        <v>4</v>
      </c>
      <c r="X14" s="277" t="s">
        <v>51</v>
      </c>
      <c r="Y14" s="278"/>
      <c r="Z14" s="278"/>
      <c r="AA14" s="279"/>
      <c r="AB14" s="120" t="s">
        <v>79</v>
      </c>
    </row>
    <row r="15" spans="1:28" ht="17.25" customHeight="1" thickBot="1" x14ac:dyDescent="0.45">
      <c r="A15" s="31"/>
      <c r="B15" s="32">
        <v>5</v>
      </c>
      <c r="C15" s="137" t="s">
        <v>74</v>
      </c>
      <c r="D15" s="138"/>
      <c r="E15" s="138"/>
      <c r="F15" s="139"/>
      <c r="G15" s="120" t="s">
        <v>49</v>
      </c>
      <c r="H15" s="31"/>
      <c r="I15" s="32">
        <v>5</v>
      </c>
      <c r="J15" s="143" t="s">
        <v>74</v>
      </c>
      <c r="K15" s="144"/>
      <c r="L15" s="144"/>
      <c r="M15" s="145"/>
      <c r="N15" s="124" t="s">
        <v>49</v>
      </c>
      <c r="O15" s="91"/>
      <c r="P15" s="32">
        <v>5</v>
      </c>
      <c r="Q15" s="137" t="s">
        <v>74</v>
      </c>
      <c r="R15" s="138"/>
      <c r="S15" s="138"/>
      <c r="T15" s="139"/>
      <c r="U15" s="120" t="s">
        <v>49</v>
      </c>
      <c r="V15" s="91"/>
      <c r="W15" s="32">
        <v>5</v>
      </c>
      <c r="X15" s="137" t="s">
        <v>74</v>
      </c>
      <c r="Y15" s="138"/>
      <c r="Z15" s="138"/>
      <c r="AA15" s="139"/>
      <c r="AB15" s="120" t="s">
        <v>49</v>
      </c>
    </row>
    <row r="16" spans="1:28" ht="16.5" customHeight="1" x14ac:dyDescent="0.4">
      <c r="A16" s="34" t="s">
        <v>19</v>
      </c>
      <c r="B16" s="35">
        <v>3</v>
      </c>
      <c r="C16" s="316" t="s">
        <v>274</v>
      </c>
      <c r="D16" s="317"/>
      <c r="E16" s="317"/>
      <c r="F16" s="318"/>
      <c r="G16" s="140" t="s">
        <v>196</v>
      </c>
      <c r="H16" s="34" t="s">
        <v>19</v>
      </c>
      <c r="I16" s="35">
        <v>3</v>
      </c>
      <c r="J16" s="408"/>
      <c r="K16" s="409"/>
      <c r="L16" s="409"/>
      <c r="M16" s="410"/>
      <c r="N16" s="106"/>
      <c r="O16" s="34" t="s">
        <v>19</v>
      </c>
      <c r="P16" s="35">
        <v>4</v>
      </c>
      <c r="Q16" s="316" t="s">
        <v>233</v>
      </c>
      <c r="R16" s="317"/>
      <c r="S16" s="317"/>
      <c r="T16" s="318"/>
      <c r="U16" s="140" t="s">
        <v>204</v>
      </c>
      <c r="V16" s="34" t="s">
        <v>19</v>
      </c>
      <c r="W16" s="35">
        <v>2</v>
      </c>
      <c r="X16" s="254"/>
      <c r="Y16" s="255"/>
      <c r="Z16" s="255"/>
      <c r="AA16" s="256"/>
      <c r="AB16" s="105"/>
    </row>
    <row r="17" spans="1:28" ht="32.25" customHeight="1" x14ac:dyDescent="0.4">
      <c r="A17" s="28"/>
      <c r="B17" s="29">
        <v>4</v>
      </c>
      <c r="C17" s="411" t="s">
        <v>57</v>
      </c>
      <c r="D17" s="412"/>
      <c r="E17" s="412"/>
      <c r="F17" s="413"/>
      <c r="G17" s="134" t="s">
        <v>61</v>
      </c>
      <c r="H17" s="28"/>
      <c r="I17" s="29">
        <v>4</v>
      </c>
      <c r="J17" s="163" t="s">
        <v>116</v>
      </c>
      <c r="K17" s="164"/>
      <c r="L17" s="164"/>
      <c r="M17" s="165"/>
      <c r="N17" s="134" t="s">
        <v>42</v>
      </c>
      <c r="O17" s="28"/>
      <c r="P17" s="29">
        <v>5</v>
      </c>
      <c r="Q17" s="325" t="s">
        <v>53</v>
      </c>
      <c r="R17" s="326"/>
      <c r="S17" s="326" t="s">
        <v>207</v>
      </c>
      <c r="T17" s="327"/>
      <c r="U17" s="134" t="s">
        <v>113</v>
      </c>
      <c r="V17" s="28"/>
      <c r="W17" s="29">
        <v>3</v>
      </c>
      <c r="X17" s="325"/>
      <c r="Y17" s="326"/>
      <c r="Z17" s="326" t="s">
        <v>54</v>
      </c>
      <c r="AA17" s="327"/>
      <c r="AB17" s="134" t="s">
        <v>43</v>
      </c>
    </row>
    <row r="18" spans="1:28" ht="33" customHeight="1" x14ac:dyDescent="0.4">
      <c r="A18" s="28"/>
      <c r="B18" s="29">
        <v>5</v>
      </c>
      <c r="C18" s="163" t="s">
        <v>215</v>
      </c>
      <c r="D18" s="164"/>
      <c r="E18" s="164"/>
      <c r="F18" s="165"/>
      <c r="G18" s="120" t="s">
        <v>42</v>
      </c>
      <c r="H18" s="28"/>
      <c r="I18" s="29">
        <v>5</v>
      </c>
      <c r="J18" s="414" t="s">
        <v>57</v>
      </c>
      <c r="K18" s="247"/>
      <c r="L18" s="247"/>
      <c r="M18" s="248"/>
      <c r="N18" s="134" t="s">
        <v>61</v>
      </c>
      <c r="O18" s="28"/>
      <c r="P18" s="29">
        <v>6</v>
      </c>
      <c r="Q18" s="160" t="s">
        <v>208</v>
      </c>
      <c r="R18" s="161"/>
      <c r="S18" s="244" t="s">
        <v>54</v>
      </c>
      <c r="T18" s="245"/>
      <c r="U18" s="134" t="s">
        <v>112</v>
      </c>
      <c r="V18" s="28"/>
      <c r="W18" s="29">
        <v>4</v>
      </c>
      <c r="X18" s="160" t="s">
        <v>53</v>
      </c>
      <c r="Y18" s="161"/>
      <c r="Z18" s="161" t="s">
        <v>209</v>
      </c>
      <c r="AA18" s="162"/>
      <c r="AB18" s="134" t="s">
        <v>111</v>
      </c>
    </row>
    <row r="19" spans="1:28" ht="19.5" customHeight="1" thickBot="1" x14ac:dyDescent="0.45">
      <c r="A19" s="36"/>
      <c r="B19" s="32">
        <v>6</v>
      </c>
      <c r="C19" s="372"/>
      <c r="D19" s="373"/>
      <c r="E19" s="373"/>
      <c r="F19" s="374"/>
      <c r="G19" s="135"/>
      <c r="H19" s="57"/>
      <c r="I19" s="58">
        <v>6</v>
      </c>
      <c r="J19" s="418"/>
      <c r="K19" s="419"/>
      <c r="L19" s="419"/>
      <c r="M19" s="420"/>
      <c r="N19" s="131"/>
      <c r="O19" s="36"/>
      <c r="P19" s="32"/>
      <c r="Q19" s="378"/>
      <c r="R19" s="379"/>
      <c r="S19" s="379"/>
      <c r="T19" s="380"/>
      <c r="U19" s="135"/>
      <c r="V19" s="36"/>
      <c r="W19" s="32">
        <v>5</v>
      </c>
      <c r="X19" s="364" t="s">
        <v>233</v>
      </c>
      <c r="Y19" s="365"/>
      <c r="Z19" s="365"/>
      <c r="AA19" s="366"/>
      <c r="AB19" s="135" t="s">
        <v>204</v>
      </c>
    </row>
    <row r="20" spans="1:28" ht="18" customHeight="1" x14ac:dyDescent="0.4">
      <c r="A20" s="34" t="s">
        <v>20</v>
      </c>
      <c r="B20" s="35">
        <v>1</v>
      </c>
      <c r="C20" s="260"/>
      <c r="D20" s="261"/>
      <c r="E20" s="261"/>
      <c r="F20" s="262"/>
      <c r="G20" s="27"/>
      <c r="H20" s="34" t="s">
        <v>20</v>
      </c>
      <c r="I20" s="35">
        <v>1</v>
      </c>
      <c r="J20" s="415"/>
      <c r="K20" s="416"/>
      <c r="L20" s="416"/>
      <c r="M20" s="417"/>
      <c r="N20" s="105"/>
      <c r="O20" s="34" t="s">
        <v>20</v>
      </c>
      <c r="P20" s="35">
        <v>2</v>
      </c>
      <c r="Q20" s="360" t="s">
        <v>198</v>
      </c>
      <c r="R20" s="244"/>
      <c r="S20" s="244"/>
      <c r="T20" s="245"/>
      <c r="U20" s="128" t="s">
        <v>197</v>
      </c>
      <c r="V20" s="34" t="s">
        <v>20</v>
      </c>
      <c r="W20" s="35">
        <v>1</v>
      </c>
      <c r="X20" s="360" t="s">
        <v>57</v>
      </c>
      <c r="Y20" s="244"/>
      <c r="Z20" s="244"/>
      <c r="AA20" s="245"/>
      <c r="AB20" s="128" t="s">
        <v>60</v>
      </c>
    </row>
    <row r="21" spans="1:28" ht="19.5" customHeight="1" x14ac:dyDescent="0.4">
      <c r="A21" s="28"/>
      <c r="B21" s="29">
        <v>2</v>
      </c>
      <c r="C21" s="160" t="s">
        <v>198</v>
      </c>
      <c r="D21" s="161"/>
      <c r="E21" s="161"/>
      <c r="F21" s="162"/>
      <c r="G21" s="120" t="s">
        <v>197</v>
      </c>
      <c r="H21" s="28"/>
      <c r="I21" s="29">
        <v>2</v>
      </c>
      <c r="J21" s="160" t="s">
        <v>198</v>
      </c>
      <c r="K21" s="161"/>
      <c r="L21" s="161"/>
      <c r="M21" s="162"/>
      <c r="N21" s="120" t="s">
        <v>197</v>
      </c>
      <c r="O21" s="28"/>
      <c r="P21" s="29">
        <v>3</v>
      </c>
      <c r="Q21" s="361" t="s">
        <v>115</v>
      </c>
      <c r="R21" s="362"/>
      <c r="S21" s="362"/>
      <c r="T21" s="363"/>
      <c r="U21" s="120" t="s">
        <v>75</v>
      </c>
      <c r="V21" s="28"/>
      <c r="W21" s="29">
        <v>2</v>
      </c>
      <c r="X21" s="361" t="s">
        <v>198</v>
      </c>
      <c r="Y21" s="362"/>
      <c r="Z21" s="362"/>
      <c r="AA21" s="363"/>
      <c r="AB21" s="134" t="s">
        <v>197</v>
      </c>
    </row>
    <row r="22" spans="1:28" ht="16.899999999999999" customHeight="1" x14ac:dyDescent="0.4">
      <c r="A22" s="28"/>
      <c r="B22" s="29">
        <v>3</v>
      </c>
      <c r="C22" s="361" t="s">
        <v>81</v>
      </c>
      <c r="D22" s="362"/>
      <c r="E22" s="362"/>
      <c r="F22" s="363"/>
      <c r="G22" s="120" t="s">
        <v>49</v>
      </c>
      <c r="H22" s="28"/>
      <c r="I22" s="29">
        <v>3</v>
      </c>
      <c r="J22" s="361" t="s">
        <v>216</v>
      </c>
      <c r="K22" s="362"/>
      <c r="L22" s="362"/>
      <c r="M22" s="363"/>
      <c r="N22" s="120" t="s">
        <v>40</v>
      </c>
      <c r="O22" s="28"/>
      <c r="P22" s="29">
        <v>4</v>
      </c>
      <c r="Q22" s="360" t="s">
        <v>217</v>
      </c>
      <c r="R22" s="244"/>
      <c r="S22" s="244"/>
      <c r="T22" s="245"/>
      <c r="U22" s="120" t="s">
        <v>55</v>
      </c>
      <c r="V22" s="28"/>
      <c r="W22" s="29">
        <v>3</v>
      </c>
      <c r="X22" s="361" t="s">
        <v>214</v>
      </c>
      <c r="Y22" s="362"/>
      <c r="Z22" s="362"/>
      <c r="AA22" s="363"/>
      <c r="AB22" s="154" t="s">
        <v>42</v>
      </c>
    </row>
    <row r="23" spans="1:28" ht="18" customHeight="1" thickBot="1" x14ac:dyDescent="0.45">
      <c r="A23" s="36"/>
      <c r="B23" s="32">
        <v>4</v>
      </c>
      <c r="C23" s="364" t="s">
        <v>214</v>
      </c>
      <c r="D23" s="365"/>
      <c r="E23" s="365"/>
      <c r="F23" s="366"/>
      <c r="G23" s="124" t="s">
        <v>42</v>
      </c>
      <c r="H23" s="36"/>
      <c r="I23" s="32">
        <v>4</v>
      </c>
      <c r="J23" s="384" t="s">
        <v>81</v>
      </c>
      <c r="K23" s="385"/>
      <c r="L23" s="385"/>
      <c r="M23" s="386"/>
      <c r="N23" s="135" t="s">
        <v>114</v>
      </c>
      <c r="O23" s="36"/>
      <c r="P23" s="32">
        <v>5</v>
      </c>
      <c r="Q23" s="364" t="s">
        <v>267</v>
      </c>
      <c r="R23" s="365"/>
      <c r="S23" s="365"/>
      <c r="T23" s="366"/>
      <c r="U23" s="124" t="s">
        <v>60</v>
      </c>
      <c r="V23" s="36"/>
      <c r="W23" s="32">
        <v>4</v>
      </c>
      <c r="X23" s="364" t="s">
        <v>115</v>
      </c>
      <c r="Y23" s="365"/>
      <c r="Z23" s="365"/>
      <c r="AA23" s="366"/>
      <c r="AB23" s="124" t="s">
        <v>75</v>
      </c>
    </row>
    <row r="24" spans="1:28" ht="15.75" customHeight="1" x14ac:dyDescent="0.4">
      <c r="A24" s="34" t="s">
        <v>21</v>
      </c>
      <c r="B24" s="35">
        <v>2</v>
      </c>
      <c r="C24" s="163" t="s">
        <v>218</v>
      </c>
      <c r="D24" s="164"/>
      <c r="E24" s="164"/>
      <c r="F24" s="165"/>
      <c r="G24" s="120" t="s">
        <v>201</v>
      </c>
      <c r="H24" s="34" t="s">
        <v>21</v>
      </c>
      <c r="I24" s="35">
        <v>3</v>
      </c>
      <c r="J24" s="163" t="s">
        <v>221</v>
      </c>
      <c r="K24" s="164"/>
      <c r="L24" s="164"/>
      <c r="M24" s="165"/>
      <c r="N24" s="120" t="s">
        <v>42</v>
      </c>
      <c r="O24" s="34" t="s">
        <v>21</v>
      </c>
      <c r="P24" s="35">
        <v>3</v>
      </c>
      <c r="Q24" s="233"/>
      <c r="R24" s="234"/>
      <c r="S24" s="234"/>
      <c r="T24" s="235"/>
      <c r="U24" s="120"/>
      <c r="V24" s="34" t="s">
        <v>21</v>
      </c>
      <c r="W24" s="35">
        <v>3</v>
      </c>
      <c r="X24" s="233"/>
      <c r="Y24" s="234"/>
      <c r="Z24" s="234"/>
      <c r="AA24" s="235"/>
      <c r="AB24" s="120"/>
    </row>
    <row r="25" spans="1:28" ht="18" customHeight="1" x14ac:dyDescent="0.4">
      <c r="A25" s="28"/>
      <c r="B25" s="29">
        <v>3</v>
      </c>
      <c r="C25" s="361" t="s">
        <v>220</v>
      </c>
      <c r="D25" s="362"/>
      <c r="E25" s="362"/>
      <c r="F25" s="363"/>
      <c r="G25" s="120" t="s">
        <v>75</v>
      </c>
      <c r="H25" s="28"/>
      <c r="I25" s="29">
        <v>4</v>
      </c>
      <c r="J25" s="361" t="s">
        <v>219</v>
      </c>
      <c r="K25" s="362"/>
      <c r="L25" s="362"/>
      <c r="M25" s="363"/>
      <c r="N25" s="120" t="s">
        <v>75</v>
      </c>
      <c r="O25" s="28"/>
      <c r="P25" s="29">
        <v>4</v>
      </c>
      <c r="Q25" s="182" t="s">
        <v>214</v>
      </c>
      <c r="R25" s="183"/>
      <c r="S25" s="183"/>
      <c r="T25" s="184"/>
      <c r="U25" s="120" t="s">
        <v>42</v>
      </c>
      <c r="V25" s="28"/>
      <c r="W25" s="29">
        <v>4</v>
      </c>
      <c r="X25" s="182" t="s">
        <v>222</v>
      </c>
      <c r="Y25" s="183"/>
      <c r="Z25" s="183"/>
      <c r="AA25" s="184"/>
      <c r="AB25" s="120" t="s">
        <v>76</v>
      </c>
    </row>
    <row r="26" spans="1:28" ht="17.25" customHeight="1" x14ac:dyDescent="0.4">
      <c r="A26" s="28"/>
      <c r="B26" s="29">
        <v>4</v>
      </c>
      <c r="C26" s="361" t="s">
        <v>80</v>
      </c>
      <c r="D26" s="362"/>
      <c r="E26" s="362"/>
      <c r="F26" s="363"/>
      <c r="G26" s="120" t="s">
        <v>52</v>
      </c>
      <c r="H26" s="28"/>
      <c r="I26" s="29">
        <v>5</v>
      </c>
      <c r="J26" s="160" t="s">
        <v>282</v>
      </c>
      <c r="K26" s="161"/>
      <c r="L26" s="161"/>
      <c r="M26" s="162"/>
      <c r="N26" s="134" t="s">
        <v>283</v>
      </c>
      <c r="O26" s="28"/>
      <c r="P26" s="29">
        <v>5</v>
      </c>
      <c r="Q26" s="361" t="s">
        <v>80</v>
      </c>
      <c r="R26" s="362"/>
      <c r="S26" s="362"/>
      <c r="T26" s="363"/>
      <c r="U26" s="120" t="s">
        <v>52</v>
      </c>
      <c r="V26" s="28"/>
      <c r="W26" s="29">
        <v>5</v>
      </c>
      <c r="X26" s="361" t="s">
        <v>58</v>
      </c>
      <c r="Y26" s="362"/>
      <c r="Z26" s="362"/>
      <c r="AA26" s="363"/>
      <c r="AB26" s="120" t="s">
        <v>42</v>
      </c>
    </row>
    <row r="27" spans="1:28" ht="19.5" customHeight="1" thickBot="1" x14ac:dyDescent="0.45">
      <c r="A27" s="36"/>
      <c r="B27" s="32">
        <v>5</v>
      </c>
      <c r="C27" s="381"/>
      <c r="D27" s="382"/>
      <c r="E27" s="382"/>
      <c r="F27" s="383"/>
      <c r="G27" s="120" t="s">
        <v>281</v>
      </c>
      <c r="H27" s="57"/>
      <c r="I27" s="58">
        <v>6</v>
      </c>
      <c r="J27" s="387"/>
      <c r="K27" s="388"/>
      <c r="L27" s="388"/>
      <c r="M27" s="389"/>
      <c r="N27" s="81"/>
      <c r="O27" s="36"/>
      <c r="P27" s="79">
        <v>6</v>
      </c>
      <c r="Q27" s="367" t="s">
        <v>58</v>
      </c>
      <c r="R27" s="368"/>
      <c r="S27" s="368"/>
      <c r="T27" s="369"/>
      <c r="U27" s="142" t="s">
        <v>42</v>
      </c>
      <c r="V27" s="36"/>
      <c r="W27" s="79">
        <v>6</v>
      </c>
      <c r="X27" s="367" t="s">
        <v>80</v>
      </c>
      <c r="Y27" s="368"/>
      <c r="Z27" s="368"/>
      <c r="AA27" s="369"/>
      <c r="AB27" s="142" t="s">
        <v>52</v>
      </c>
    </row>
    <row r="28" spans="1:28" ht="20.25" customHeight="1" x14ac:dyDescent="0.4">
      <c r="A28" s="34" t="s">
        <v>22</v>
      </c>
      <c r="B28" s="35" t="s">
        <v>100</v>
      </c>
      <c r="C28" s="316" t="s">
        <v>108</v>
      </c>
      <c r="D28" s="317"/>
      <c r="E28" s="317"/>
      <c r="F28" s="318"/>
      <c r="G28" s="105"/>
      <c r="H28" s="34" t="s">
        <v>22</v>
      </c>
      <c r="I28" s="35" t="s">
        <v>100</v>
      </c>
      <c r="J28" s="316" t="s">
        <v>108</v>
      </c>
      <c r="K28" s="317"/>
      <c r="L28" s="317"/>
      <c r="M28" s="318"/>
      <c r="N28" s="106"/>
      <c r="O28" s="34" t="s">
        <v>22</v>
      </c>
      <c r="P28" s="35" t="s">
        <v>100</v>
      </c>
      <c r="Q28" s="316" t="s">
        <v>108</v>
      </c>
      <c r="R28" s="317"/>
      <c r="S28" s="317"/>
      <c r="T28" s="318"/>
      <c r="U28" s="40"/>
      <c r="V28" s="34" t="s">
        <v>22</v>
      </c>
      <c r="W28" s="35" t="s">
        <v>100</v>
      </c>
      <c r="X28" s="316" t="s">
        <v>108</v>
      </c>
      <c r="Y28" s="317"/>
      <c r="Z28" s="317"/>
      <c r="AA28" s="318"/>
      <c r="AB28" s="40"/>
    </row>
    <row r="29" spans="1:28" ht="21" customHeight="1" x14ac:dyDescent="0.4">
      <c r="A29" s="37"/>
      <c r="B29" s="29">
        <v>4</v>
      </c>
      <c r="C29" s="185" t="s">
        <v>279</v>
      </c>
      <c r="D29" s="186"/>
      <c r="E29" s="186"/>
      <c r="F29" s="187"/>
      <c r="G29" s="134" t="s">
        <v>280</v>
      </c>
      <c r="H29" s="37"/>
      <c r="I29" s="29">
        <v>4</v>
      </c>
      <c r="J29" s="182" t="s">
        <v>289</v>
      </c>
      <c r="K29" s="183"/>
      <c r="L29" s="183"/>
      <c r="M29" s="184"/>
      <c r="N29" s="120" t="s">
        <v>202</v>
      </c>
      <c r="O29" s="37"/>
      <c r="P29" s="29">
        <v>4</v>
      </c>
      <c r="Q29" s="182" t="s">
        <v>226</v>
      </c>
      <c r="R29" s="183"/>
      <c r="S29" s="183"/>
      <c r="T29" s="184"/>
      <c r="U29" s="120" t="s">
        <v>62</v>
      </c>
      <c r="V29" s="37"/>
      <c r="W29" s="29">
        <v>4</v>
      </c>
      <c r="X29" s="182" t="s">
        <v>227</v>
      </c>
      <c r="Y29" s="183"/>
      <c r="Z29" s="183"/>
      <c r="AA29" s="184"/>
      <c r="AB29" s="120" t="s">
        <v>62</v>
      </c>
    </row>
    <row r="30" spans="1:28" ht="34.5" customHeight="1" x14ac:dyDescent="0.4">
      <c r="A30" s="37"/>
      <c r="B30" s="29">
        <v>5</v>
      </c>
      <c r="C30" s="361" t="s">
        <v>223</v>
      </c>
      <c r="D30" s="362"/>
      <c r="E30" s="362"/>
      <c r="F30" s="363"/>
      <c r="G30" s="120" t="s">
        <v>39</v>
      </c>
      <c r="H30" s="37"/>
      <c r="I30" s="29">
        <v>5</v>
      </c>
      <c r="J30" s="182" t="s">
        <v>224</v>
      </c>
      <c r="K30" s="183"/>
      <c r="L30" s="183"/>
      <c r="M30" s="184"/>
      <c r="N30" s="120" t="s">
        <v>202</v>
      </c>
      <c r="O30" s="37"/>
      <c r="P30" s="29">
        <v>5</v>
      </c>
      <c r="Q30" s="182" t="s">
        <v>232</v>
      </c>
      <c r="R30" s="183"/>
      <c r="S30" s="183"/>
      <c r="T30" s="184"/>
      <c r="U30" s="120" t="s">
        <v>229</v>
      </c>
      <c r="V30" s="37"/>
      <c r="W30" s="29">
        <v>5</v>
      </c>
      <c r="X30" s="182" t="s">
        <v>231</v>
      </c>
      <c r="Y30" s="183"/>
      <c r="Z30" s="183"/>
      <c r="AA30" s="184"/>
      <c r="AB30" s="120" t="s">
        <v>277</v>
      </c>
    </row>
    <row r="31" spans="1:28" ht="21.75" customHeight="1" thickBot="1" x14ac:dyDescent="0.45">
      <c r="A31" s="38"/>
      <c r="B31" s="32">
        <v>6</v>
      </c>
      <c r="C31" s="390"/>
      <c r="D31" s="391"/>
      <c r="E31" s="391"/>
      <c r="F31" s="392"/>
      <c r="G31" s="135"/>
      <c r="H31" s="36"/>
      <c r="I31" s="32">
        <v>6</v>
      </c>
      <c r="J31" s="381"/>
      <c r="K31" s="382"/>
      <c r="L31" s="382"/>
      <c r="M31" s="383"/>
      <c r="N31" s="119"/>
      <c r="O31" s="38"/>
      <c r="P31" s="32">
        <v>6</v>
      </c>
      <c r="Q31" s="402"/>
      <c r="R31" s="403"/>
      <c r="S31" s="403"/>
      <c r="T31" s="404"/>
      <c r="U31" s="142"/>
      <c r="V31" s="38"/>
      <c r="W31" s="32">
        <v>6</v>
      </c>
      <c r="X31" s="348" t="s">
        <v>230</v>
      </c>
      <c r="Y31" s="349"/>
      <c r="Z31" s="349"/>
      <c r="AA31" s="350"/>
      <c r="AB31" s="142" t="s">
        <v>43</v>
      </c>
    </row>
    <row r="32" spans="1:28" ht="14.25" customHeight="1" x14ac:dyDescent="0.4">
      <c r="A32" s="60" t="s">
        <v>23</v>
      </c>
      <c r="B32" s="35">
        <v>1</v>
      </c>
      <c r="C32" s="396"/>
      <c r="D32" s="397"/>
      <c r="E32" s="397"/>
      <c r="F32" s="398"/>
      <c r="G32" s="105"/>
      <c r="H32" s="60" t="s">
        <v>23</v>
      </c>
      <c r="I32" s="35">
        <v>1</v>
      </c>
      <c r="J32" s="399"/>
      <c r="K32" s="400"/>
      <c r="L32" s="400"/>
      <c r="M32" s="401"/>
      <c r="N32" s="27"/>
      <c r="O32" s="60" t="s">
        <v>23</v>
      </c>
      <c r="P32" s="35">
        <v>1</v>
      </c>
      <c r="Q32" s="399"/>
      <c r="R32" s="400"/>
      <c r="S32" s="400"/>
      <c r="T32" s="401"/>
      <c r="U32" s="27"/>
      <c r="V32" s="60" t="s">
        <v>23</v>
      </c>
      <c r="W32" s="35">
        <v>1</v>
      </c>
      <c r="X32" s="297"/>
      <c r="Y32" s="298"/>
      <c r="Z32" s="298"/>
      <c r="AA32" s="299"/>
      <c r="AB32" s="105"/>
    </row>
    <row r="33" spans="1:28" ht="16.5" customHeight="1" x14ac:dyDescent="0.4">
      <c r="A33" s="41"/>
      <c r="B33" s="29">
        <v>2</v>
      </c>
      <c r="C33" s="194" t="s">
        <v>110</v>
      </c>
      <c r="D33" s="195"/>
      <c r="E33" s="195"/>
      <c r="F33" s="196"/>
      <c r="G33" s="134" t="s">
        <v>43</v>
      </c>
      <c r="H33" s="41"/>
      <c r="I33" s="29">
        <v>2</v>
      </c>
      <c r="J33" s="249"/>
      <c r="K33" s="250"/>
      <c r="L33" s="250"/>
      <c r="M33" s="199"/>
      <c r="N33" s="120"/>
      <c r="O33" s="41"/>
      <c r="P33" s="29">
        <v>2</v>
      </c>
      <c r="Q33" s="249"/>
      <c r="R33" s="250"/>
      <c r="S33" s="250"/>
      <c r="T33" s="199"/>
      <c r="U33" s="30"/>
      <c r="V33" s="41"/>
      <c r="W33" s="29">
        <v>2</v>
      </c>
      <c r="X33" s="160"/>
      <c r="Y33" s="161"/>
      <c r="Z33" s="161"/>
      <c r="AA33" s="162"/>
      <c r="AB33" s="146"/>
    </row>
    <row r="34" spans="1:28" ht="36.75" customHeight="1" x14ac:dyDescent="0.4">
      <c r="A34" s="41"/>
      <c r="B34" s="29">
        <v>3</v>
      </c>
      <c r="C34" s="160" t="s">
        <v>284</v>
      </c>
      <c r="D34" s="161"/>
      <c r="E34" s="161"/>
      <c r="F34" s="162"/>
      <c r="G34" s="134" t="s">
        <v>229</v>
      </c>
      <c r="H34" s="41"/>
      <c r="I34" s="29">
        <v>3</v>
      </c>
      <c r="J34" s="360" t="s">
        <v>199</v>
      </c>
      <c r="K34" s="244"/>
      <c r="L34" s="244"/>
      <c r="M34" s="245"/>
      <c r="N34" s="120" t="s">
        <v>43</v>
      </c>
      <c r="O34" s="41"/>
      <c r="P34" s="29">
        <v>3</v>
      </c>
      <c r="Q34" s="160" t="s">
        <v>210</v>
      </c>
      <c r="R34" s="161"/>
      <c r="S34" s="161"/>
      <c r="T34" s="162"/>
      <c r="U34" s="120" t="s">
        <v>43</v>
      </c>
      <c r="V34" s="41"/>
      <c r="W34" s="29">
        <v>3</v>
      </c>
      <c r="X34" s="160" t="s">
        <v>211</v>
      </c>
      <c r="Y34" s="161"/>
      <c r="Z34" s="161"/>
      <c r="AA34" s="162"/>
      <c r="AB34" s="146" t="s">
        <v>43</v>
      </c>
    </row>
    <row r="35" spans="1:28" ht="34.5" customHeight="1" x14ac:dyDescent="0.4">
      <c r="A35" s="62"/>
      <c r="B35" s="58">
        <v>4</v>
      </c>
      <c r="C35" s="375"/>
      <c r="D35" s="376"/>
      <c r="E35" s="376"/>
      <c r="F35" s="377"/>
      <c r="G35" s="112"/>
      <c r="H35" s="62"/>
      <c r="I35" s="58">
        <v>4</v>
      </c>
      <c r="J35" s="325" t="s">
        <v>53</v>
      </c>
      <c r="K35" s="326"/>
      <c r="L35" s="326" t="s">
        <v>212</v>
      </c>
      <c r="M35" s="327"/>
      <c r="N35" s="129" t="s">
        <v>111</v>
      </c>
      <c r="O35" s="62"/>
      <c r="P35" s="58">
        <v>4</v>
      </c>
      <c r="Q35" s="277"/>
      <c r="R35" s="278"/>
      <c r="S35" s="278"/>
      <c r="T35" s="279"/>
      <c r="U35" s="120"/>
      <c r="V35" s="62"/>
      <c r="W35" s="58">
        <v>4</v>
      </c>
      <c r="X35" s="325" t="s">
        <v>271</v>
      </c>
      <c r="Y35" s="326"/>
      <c r="Z35" s="370"/>
      <c r="AA35" s="371"/>
      <c r="AB35" s="146" t="s">
        <v>270</v>
      </c>
    </row>
    <row r="36" spans="1:28" ht="35.25" customHeight="1" thickBot="1" x14ac:dyDescent="0.45">
      <c r="A36" s="45"/>
      <c r="B36" s="32">
        <v>5</v>
      </c>
      <c r="C36" s="378"/>
      <c r="D36" s="379"/>
      <c r="E36" s="379"/>
      <c r="F36" s="380"/>
      <c r="G36" s="111"/>
      <c r="H36" s="45"/>
      <c r="I36" s="32">
        <v>5</v>
      </c>
      <c r="J36" s="160" t="s">
        <v>213</v>
      </c>
      <c r="K36" s="161"/>
      <c r="L36" s="244" t="s">
        <v>54</v>
      </c>
      <c r="M36" s="245"/>
      <c r="N36" s="124" t="s">
        <v>112</v>
      </c>
      <c r="O36" s="45"/>
      <c r="P36" s="32">
        <v>5</v>
      </c>
      <c r="Q36" s="372"/>
      <c r="R36" s="373"/>
      <c r="S36" s="373"/>
      <c r="T36" s="374"/>
      <c r="U36" s="33"/>
      <c r="V36" s="45"/>
      <c r="W36" s="32">
        <v>5</v>
      </c>
      <c r="X36" s="221"/>
      <c r="Y36" s="222"/>
      <c r="Z36" s="222"/>
      <c r="AA36" s="223"/>
      <c r="AB36" s="147"/>
    </row>
    <row r="37" spans="1:28" s="67" customFormat="1" ht="9.75" customHeight="1" thickBot="1" x14ac:dyDescent="0.45">
      <c r="A37" s="63"/>
      <c r="B37" s="64"/>
      <c r="C37" s="113"/>
      <c r="D37" s="114"/>
      <c r="E37" s="114"/>
      <c r="F37" s="115"/>
      <c r="G37" s="115"/>
      <c r="H37" s="63"/>
      <c r="I37" s="64"/>
      <c r="J37" s="393"/>
      <c r="K37" s="394"/>
      <c r="L37" s="394"/>
      <c r="M37" s="395"/>
      <c r="N37" s="115"/>
      <c r="O37" s="63"/>
      <c r="P37" s="64"/>
      <c r="Q37" s="354"/>
      <c r="R37" s="355"/>
      <c r="S37" s="355"/>
      <c r="T37" s="356"/>
      <c r="U37" s="115"/>
      <c r="V37" s="63"/>
      <c r="W37" s="64"/>
      <c r="X37" s="354"/>
      <c r="Y37" s="355"/>
      <c r="Z37" s="355"/>
      <c r="AA37" s="356"/>
      <c r="AB37" s="115"/>
    </row>
    <row r="38" spans="1:28" ht="18.75" customHeight="1" thickBot="1" x14ac:dyDescent="0.45">
      <c r="A38" s="74"/>
      <c r="B38" s="75" t="s">
        <v>28</v>
      </c>
      <c r="C38" s="357" t="s">
        <v>71</v>
      </c>
      <c r="D38" s="358"/>
      <c r="E38" s="358"/>
      <c r="F38" s="359"/>
      <c r="G38" s="141" t="s">
        <v>72</v>
      </c>
      <c r="H38" s="74"/>
      <c r="I38" s="75" t="s">
        <v>28</v>
      </c>
      <c r="J38" s="357" t="s">
        <v>71</v>
      </c>
      <c r="K38" s="358"/>
      <c r="L38" s="358"/>
      <c r="M38" s="359"/>
      <c r="N38" s="141" t="s">
        <v>72</v>
      </c>
      <c r="O38" s="74"/>
      <c r="P38" s="75" t="s">
        <v>28</v>
      </c>
      <c r="Q38" s="357" t="s">
        <v>71</v>
      </c>
      <c r="R38" s="358"/>
      <c r="S38" s="358"/>
      <c r="T38" s="359"/>
      <c r="U38" s="141" t="s">
        <v>72</v>
      </c>
      <c r="V38" s="74"/>
      <c r="W38" s="75" t="s">
        <v>28</v>
      </c>
      <c r="X38" s="357" t="s">
        <v>71</v>
      </c>
      <c r="Y38" s="358"/>
      <c r="Z38" s="358"/>
      <c r="AA38" s="359"/>
      <c r="AB38" s="141" t="s">
        <v>72</v>
      </c>
    </row>
    <row r="39" spans="1:28" ht="43.5" customHeight="1" x14ac:dyDescent="0.4">
      <c r="A39" s="85" t="s">
        <v>102</v>
      </c>
      <c r="B39" s="86"/>
      <c r="C39" s="344" t="s">
        <v>109</v>
      </c>
      <c r="D39" s="344"/>
      <c r="E39" s="344"/>
      <c r="F39" s="344"/>
      <c r="G39" s="82"/>
      <c r="H39" s="85" t="s">
        <v>102</v>
      </c>
      <c r="I39" s="86"/>
      <c r="J39" s="344" t="s">
        <v>109</v>
      </c>
      <c r="K39" s="344"/>
      <c r="L39" s="344"/>
      <c r="M39" s="344"/>
      <c r="N39" s="82"/>
      <c r="O39" s="85" t="s">
        <v>102</v>
      </c>
      <c r="P39" s="86"/>
      <c r="Q39" s="344" t="s">
        <v>109</v>
      </c>
      <c r="R39" s="344"/>
      <c r="S39" s="344"/>
      <c r="T39" s="344"/>
      <c r="U39" s="82"/>
      <c r="V39" s="85" t="s">
        <v>102</v>
      </c>
      <c r="W39" s="86"/>
      <c r="X39" s="344" t="s">
        <v>109</v>
      </c>
      <c r="Y39" s="344"/>
      <c r="Z39" s="344"/>
      <c r="AA39" s="344"/>
      <c r="AB39" s="82"/>
    </row>
    <row r="40" spans="1:28" x14ac:dyDescent="0.4">
      <c r="B40" s="2" t="s">
        <v>130</v>
      </c>
      <c r="E40" s="2" t="s">
        <v>63</v>
      </c>
      <c r="I40" s="2" t="s">
        <v>130</v>
      </c>
      <c r="L40" s="2" t="s">
        <v>63</v>
      </c>
      <c r="P40" s="2" t="s">
        <v>130</v>
      </c>
      <c r="S40" s="2" t="s">
        <v>63</v>
      </c>
      <c r="W40" s="2" t="s">
        <v>130</v>
      </c>
      <c r="Z40" s="2" t="s">
        <v>63</v>
      </c>
    </row>
    <row r="41" spans="1:28" x14ac:dyDescent="0.4">
      <c r="B41" s="2" t="s">
        <v>13</v>
      </c>
      <c r="E41" s="2" t="s">
        <v>131</v>
      </c>
      <c r="I41" s="2" t="s">
        <v>13</v>
      </c>
      <c r="L41" s="2" t="s">
        <v>131</v>
      </c>
      <c r="P41" s="2" t="s">
        <v>13</v>
      </c>
      <c r="S41" s="2" t="s">
        <v>63</v>
      </c>
      <c r="W41" s="2" t="s">
        <v>13</v>
      </c>
      <c r="Z41" s="2" t="s">
        <v>63</v>
      </c>
    </row>
  </sheetData>
  <mergeCells count="122">
    <mergeCell ref="Q33:T33"/>
    <mergeCell ref="S18:T18"/>
    <mergeCell ref="Q18:R18"/>
    <mergeCell ref="Q24:T24"/>
    <mergeCell ref="Q20:T20"/>
    <mergeCell ref="J24:M24"/>
    <mergeCell ref="J18:M18"/>
    <mergeCell ref="J20:M20"/>
    <mergeCell ref="J19:M19"/>
    <mergeCell ref="Q32:T32"/>
    <mergeCell ref="Q26:T26"/>
    <mergeCell ref="Q25:T25"/>
    <mergeCell ref="J26:M26"/>
    <mergeCell ref="J30:M30"/>
    <mergeCell ref="J28:M28"/>
    <mergeCell ref="J29:M29"/>
    <mergeCell ref="Q22:T22"/>
    <mergeCell ref="Q23:T23"/>
    <mergeCell ref="Q17:R17"/>
    <mergeCell ref="S17:T17"/>
    <mergeCell ref="J17:M17"/>
    <mergeCell ref="Q16:T16"/>
    <mergeCell ref="C10:F10"/>
    <mergeCell ref="J10:M10"/>
    <mergeCell ref="Q10:T10"/>
    <mergeCell ref="C12:F12"/>
    <mergeCell ref="C13:F13"/>
    <mergeCell ref="Q12:T12"/>
    <mergeCell ref="Q13:T13"/>
    <mergeCell ref="C14:F14"/>
    <mergeCell ref="Q14:T14"/>
    <mergeCell ref="J14:M14"/>
    <mergeCell ref="J12:M12"/>
    <mergeCell ref="J13:M13"/>
    <mergeCell ref="C16:F16"/>
    <mergeCell ref="J16:M16"/>
    <mergeCell ref="C17:F17"/>
    <mergeCell ref="C20:F20"/>
    <mergeCell ref="J21:M21"/>
    <mergeCell ref="C31:F31"/>
    <mergeCell ref="Q38:T38"/>
    <mergeCell ref="J33:M33"/>
    <mergeCell ref="J37:M37"/>
    <mergeCell ref="Q36:T36"/>
    <mergeCell ref="C34:F34"/>
    <mergeCell ref="Q19:T19"/>
    <mergeCell ref="C32:F32"/>
    <mergeCell ref="C29:F29"/>
    <mergeCell ref="C30:F30"/>
    <mergeCell ref="J31:M31"/>
    <mergeCell ref="J32:M32"/>
    <mergeCell ref="Q30:T30"/>
    <mergeCell ref="Q31:T31"/>
    <mergeCell ref="Q27:T27"/>
    <mergeCell ref="C23:F23"/>
    <mergeCell ref="C24:F24"/>
    <mergeCell ref="C25:F25"/>
    <mergeCell ref="Q35:T35"/>
    <mergeCell ref="J34:M34"/>
    <mergeCell ref="Q34:T34"/>
    <mergeCell ref="Q28:T28"/>
    <mergeCell ref="C39:F39"/>
    <mergeCell ref="J39:M39"/>
    <mergeCell ref="Q39:T39"/>
    <mergeCell ref="C19:F19"/>
    <mergeCell ref="C35:F35"/>
    <mergeCell ref="C28:F28"/>
    <mergeCell ref="C33:F33"/>
    <mergeCell ref="J35:K35"/>
    <mergeCell ref="J36:K36"/>
    <mergeCell ref="L35:M35"/>
    <mergeCell ref="L36:M36"/>
    <mergeCell ref="C38:F38"/>
    <mergeCell ref="J38:M38"/>
    <mergeCell ref="C36:F36"/>
    <mergeCell ref="C27:F27"/>
    <mergeCell ref="C26:F26"/>
    <mergeCell ref="C22:F22"/>
    <mergeCell ref="J22:M22"/>
    <mergeCell ref="J23:M23"/>
    <mergeCell ref="Q21:T21"/>
    <mergeCell ref="J25:M25"/>
    <mergeCell ref="J27:M27"/>
    <mergeCell ref="Q29:T29"/>
    <mergeCell ref="Q37:T37"/>
    <mergeCell ref="X39:AA39"/>
    <mergeCell ref="X30:AA30"/>
    <mergeCell ref="X31:AA31"/>
    <mergeCell ref="X32:AA32"/>
    <mergeCell ref="X33:AA33"/>
    <mergeCell ref="X34:AA34"/>
    <mergeCell ref="X25:AA25"/>
    <mergeCell ref="X26:AA26"/>
    <mergeCell ref="X27:AA27"/>
    <mergeCell ref="X28:AA28"/>
    <mergeCell ref="X29:AA29"/>
    <mergeCell ref="X35:Y35"/>
    <mergeCell ref="Z35:AA35"/>
    <mergeCell ref="C9:F9"/>
    <mergeCell ref="J9:M9"/>
    <mergeCell ref="Q9:T9"/>
    <mergeCell ref="X9:AA9"/>
    <mergeCell ref="X36:AA36"/>
    <mergeCell ref="X37:AA37"/>
    <mergeCell ref="X38:AA38"/>
    <mergeCell ref="X20:AA20"/>
    <mergeCell ref="X21:AA21"/>
    <mergeCell ref="X22:AA22"/>
    <mergeCell ref="X23:AA23"/>
    <mergeCell ref="X24:AA24"/>
    <mergeCell ref="X17:Y17"/>
    <mergeCell ref="Z17:AA17"/>
    <mergeCell ref="X18:Y18"/>
    <mergeCell ref="Z18:AA18"/>
    <mergeCell ref="X19:AA19"/>
    <mergeCell ref="X10:AA10"/>
    <mergeCell ref="X12:AA12"/>
    <mergeCell ref="X13:AA13"/>
    <mergeCell ref="X14:AA14"/>
    <mergeCell ref="X16:AA16"/>
    <mergeCell ref="C21:F21"/>
    <mergeCell ref="C18:F18"/>
  </mergeCells>
  <dataValidations count="3">
    <dataValidation type="list" allowBlank="1" showInputMessage="1" showErrorMessage="1" sqref="E6 L6 S6 Z6">
      <formula1>"осенний, весенний"</formula1>
    </dataValidation>
    <dataValidation allowBlank="1" showDropDown="1" showInputMessage="1" showErrorMessage="1" sqref="Q7 J7 C7 X7"/>
    <dataValidation type="list" allowBlank="1" showInputMessage="1" showErrorMessage="1" sqref="C6 J6 Q6 X6">
      <formula1>"2025-2026"</formula1>
    </dataValidation>
  </dataValidations>
  <pageMargins left="1.299212598425197" right="0.5118110236220472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" id="{5DF9FD03-BDD3-48B2-9674-90242B84CA08}">
            <xm:f>IF('1 курс'!$C$9=0,"",'1 курс'!$C$9)</xm:f>
            <x14:dxf/>
          </x14:cfRule>
          <xm:sqref>C9</xm:sqref>
        </x14:conditionalFormatting>
        <x14:conditionalFormatting xmlns:xm="http://schemas.microsoft.com/office/excel/2006/main">
          <x14:cfRule type="expression" priority="7" id="{CC537CA1-8BF6-4682-AEC2-3793FD3CDA17}">
            <xm:f>IF('1 курс'!$C$9=0,"",'1 курс'!$C$9)</xm:f>
            <x14:dxf/>
          </x14:cfRule>
          <xm:sqref>J9</xm:sqref>
        </x14:conditionalFormatting>
        <x14:conditionalFormatting xmlns:xm="http://schemas.microsoft.com/office/excel/2006/main">
          <x14:cfRule type="expression" priority="6" id="{61FB5963-1778-419B-83F3-4F9AEB7DEE76}">
            <xm:f>IF('1 курс'!$C$9=0,"",'1 курс'!$C$9)</xm:f>
            <x14:dxf/>
          </x14:cfRule>
          <xm:sqref>Q9</xm:sqref>
        </x14:conditionalFormatting>
        <x14:conditionalFormatting xmlns:xm="http://schemas.microsoft.com/office/excel/2006/main">
          <x14:cfRule type="expression" priority="5" id="{61F45922-F5D8-40F6-96EC-1B473301B5FE}">
            <xm:f>IF('1 курс'!$C$9=0,"",'1 курс'!$C$9)</xm:f>
            <x14:dxf/>
          </x14:cfRule>
          <xm:sqref>X9</xm:sqref>
        </x14:conditionalFormatting>
        <x14:conditionalFormatting xmlns:xm="http://schemas.microsoft.com/office/excel/2006/main">
          <x14:cfRule type="expression" priority="4" id="{14CE46B9-A271-4BBA-8719-965727D5EE14}">
            <xm:f>IF('1 курс'!$C$9=0,"",'1 курс'!$C$9)</xm:f>
            <x14:dxf/>
          </x14:cfRule>
          <xm:sqref>C10</xm:sqref>
        </x14:conditionalFormatting>
        <x14:conditionalFormatting xmlns:xm="http://schemas.microsoft.com/office/excel/2006/main">
          <x14:cfRule type="expression" priority="3" id="{C6C27A05-0D3D-40EA-AE59-BA9BCD68DB5F}">
            <xm:f>IF('1 курс'!$C$9=0,"",'1 курс'!$C$9)</xm:f>
            <x14:dxf/>
          </x14:cfRule>
          <xm:sqref>J10</xm:sqref>
        </x14:conditionalFormatting>
        <x14:conditionalFormatting xmlns:xm="http://schemas.microsoft.com/office/excel/2006/main">
          <x14:cfRule type="expression" priority="2" id="{D140F56F-34F6-4E52-B8C5-8A9E77B1C5C0}">
            <xm:f>IF('1 курс'!$C$9=0,"",'1 курс'!$C$9)</xm:f>
            <x14:dxf/>
          </x14:cfRule>
          <xm:sqref>Q10</xm:sqref>
        </x14:conditionalFormatting>
        <x14:conditionalFormatting xmlns:xm="http://schemas.microsoft.com/office/excel/2006/main">
          <x14:cfRule type="expression" priority="1" id="{1B1B464E-B43D-46D8-85CE-A3326136F5A5}">
            <xm:f>IF('1 курс'!$C$9=0,"",'1 курс'!$C$9)</xm:f>
            <x14:dxf/>
          </x14:cfRule>
          <xm:sqref>X10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8"/>
  <sheetViews>
    <sheetView tabSelected="1" zoomScaleNormal="100" workbookViewId="0">
      <selection activeCell="J22" sqref="J22:M22"/>
    </sheetView>
  </sheetViews>
  <sheetFormatPr defaultColWidth="9.140625" defaultRowHeight="18.75" x14ac:dyDescent="0.4"/>
  <cols>
    <col min="1" max="1" width="6.85546875" style="2" customWidth="1"/>
    <col min="2" max="2" width="10.28515625" style="2" customWidth="1"/>
    <col min="3" max="3" width="20" style="2" customWidth="1"/>
    <col min="4" max="5" width="16.140625" style="2" customWidth="1"/>
    <col min="6" max="6" width="17.5703125" style="2" customWidth="1"/>
    <col min="7" max="7" width="18.140625" style="2" customWidth="1"/>
    <col min="8" max="8" width="6.85546875" style="2" customWidth="1"/>
    <col min="9" max="9" width="11.28515625" style="2" customWidth="1"/>
    <col min="10" max="10" width="20" style="2" customWidth="1"/>
    <col min="11" max="11" width="16.140625" style="2" customWidth="1"/>
    <col min="12" max="12" width="17.140625" style="2" customWidth="1"/>
    <col min="13" max="13" width="17.5703125" style="2" customWidth="1"/>
    <col min="14" max="14" width="18.140625" style="2" customWidth="1"/>
    <col min="15" max="15" width="6.85546875" style="2" customWidth="1"/>
    <col min="16" max="16" width="9.5703125" style="2" customWidth="1"/>
    <col min="17" max="17" width="20" style="2" customWidth="1"/>
    <col min="18" max="19" width="16.140625" style="2" customWidth="1"/>
    <col min="20" max="20" width="17.5703125" style="2" customWidth="1"/>
    <col min="21" max="21" width="18.140625" style="2" customWidth="1"/>
    <col min="22" max="16384" width="9.140625" style="2"/>
  </cols>
  <sheetData>
    <row r="1" spans="1:21" x14ac:dyDescent="0.4">
      <c r="A1" s="1" t="s">
        <v>7</v>
      </c>
      <c r="F1" s="3" t="s">
        <v>8</v>
      </c>
      <c r="H1" s="1" t="s">
        <v>7</v>
      </c>
      <c r="M1" s="3" t="s">
        <v>8</v>
      </c>
      <c r="O1" s="1" t="s">
        <v>7</v>
      </c>
      <c r="T1" s="3" t="s">
        <v>8</v>
      </c>
    </row>
    <row r="2" spans="1:21" x14ac:dyDescent="0.4">
      <c r="A2" s="1" t="s">
        <v>121</v>
      </c>
      <c r="F2" s="3" t="s">
        <v>9</v>
      </c>
      <c r="H2" s="1" t="s">
        <v>121</v>
      </c>
      <c r="M2" s="3" t="s">
        <v>9</v>
      </c>
      <c r="O2" s="1" t="s">
        <v>121</v>
      </c>
      <c r="T2" s="3" t="s">
        <v>9</v>
      </c>
    </row>
    <row r="3" spans="1:21" x14ac:dyDescent="0.4">
      <c r="A3" s="1" t="s">
        <v>10</v>
      </c>
      <c r="F3" s="3" t="s">
        <v>11</v>
      </c>
      <c r="H3" s="1" t="s">
        <v>10</v>
      </c>
      <c r="M3" s="3" t="s">
        <v>11</v>
      </c>
      <c r="O3" s="1" t="s">
        <v>10</v>
      </c>
      <c r="T3" s="3" t="s">
        <v>11</v>
      </c>
    </row>
    <row r="4" spans="1:21" x14ac:dyDescent="0.4">
      <c r="A4" s="1"/>
      <c r="F4" s="3" t="s">
        <v>132</v>
      </c>
      <c r="H4" s="1"/>
      <c r="M4" s="3" t="s">
        <v>127</v>
      </c>
      <c r="O4" s="1"/>
      <c r="T4" s="3" t="s">
        <v>127</v>
      </c>
    </row>
    <row r="5" spans="1:21" x14ac:dyDescent="0.4">
      <c r="A5" s="4" t="s">
        <v>12</v>
      </c>
      <c r="B5" s="5"/>
      <c r="C5" s="5"/>
      <c r="D5" s="6"/>
      <c r="E5" s="5"/>
      <c r="F5" s="7"/>
      <c r="H5" s="4" t="s">
        <v>12</v>
      </c>
      <c r="I5" s="5"/>
      <c r="J5" s="5"/>
      <c r="K5" s="6"/>
      <c r="L5" s="5"/>
      <c r="M5" s="7"/>
      <c r="O5" s="4" t="s">
        <v>12</v>
      </c>
      <c r="P5" s="5"/>
      <c r="Q5" s="5"/>
      <c r="R5" s="6"/>
      <c r="S5" s="5"/>
      <c r="T5" s="7"/>
    </row>
    <row r="6" spans="1:21" x14ac:dyDescent="0.4">
      <c r="A6" s="8" t="s">
        <v>1</v>
      </c>
      <c r="C6" s="9" t="s">
        <v>123</v>
      </c>
      <c r="D6" s="9"/>
      <c r="E6" s="10" t="s">
        <v>31</v>
      </c>
      <c r="F6" s="11" t="s">
        <v>2</v>
      </c>
      <c r="H6" s="8" t="s">
        <v>1</v>
      </c>
      <c r="J6" s="9" t="s">
        <v>123</v>
      </c>
      <c r="K6" s="9"/>
      <c r="L6" s="10" t="s">
        <v>31</v>
      </c>
      <c r="M6" s="11" t="s">
        <v>2</v>
      </c>
      <c r="O6" s="8" t="s">
        <v>1</v>
      </c>
      <c r="Q6" s="9" t="s">
        <v>123</v>
      </c>
      <c r="R6" s="9"/>
      <c r="S6" s="10" t="s">
        <v>31</v>
      </c>
      <c r="T6" s="11" t="s">
        <v>2</v>
      </c>
    </row>
    <row r="7" spans="1:21" x14ac:dyDescent="0.4">
      <c r="A7" s="12" t="s">
        <v>3</v>
      </c>
      <c r="C7" s="13" t="s">
        <v>4</v>
      </c>
      <c r="D7" s="13"/>
      <c r="E7" s="9">
        <v>4</v>
      </c>
      <c r="F7" s="11" t="s">
        <v>5</v>
      </c>
      <c r="H7" s="12" t="s">
        <v>3</v>
      </c>
      <c r="J7" s="13" t="str">
        <f>'2 курс'!J7</f>
        <v>государства и права</v>
      </c>
      <c r="K7" s="13"/>
      <c r="L7" s="9">
        <v>4</v>
      </c>
      <c r="M7" s="11" t="s">
        <v>5</v>
      </c>
      <c r="O7" s="12" t="s">
        <v>3</v>
      </c>
      <c r="Q7" s="13" t="str">
        <f t="shared" ref="Q7:Q8" si="0">J7</f>
        <v>государства и права</v>
      </c>
      <c r="R7" s="13"/>
      <c r="S7" s="9">
        <v>4</v>
      </c>
      <c r="T7" s="11" t="s">
        <v>5</v>
      </c>
    </row>
    <row r="8" spans="1:21" x14ac:dyDescent="0.4">
      <c r="A8" s="12" t="s">
        <v>15</v>
      </c>
      <c r="C8" s="14" t="str">
        <f>'1 курс'!$C$8</f>
        <v>40.03.01 Юриспруденция</v>
      </c>
      <c r="D8" s="14"/>
      <c r="E8" s="15" t="s">
        <v>67</v>
      </c>
      <c r="F8" s="16" t="s">
        <v>6</v>
      </c>
      <c r="H8" s="12" t="s">
        <v>15</v>
      </c>
      <c r="J8" s="14" t="str">
        <f>'2 курс'!J8</f>
        <v>40.03.01 Юриспруденция</v>
      </c>
      <c r="K8" s="14"/>
      <c r="L8" s="15" t="s">
        <v>68</v>
      </c>
      <c r="M8" s="16" t="s">
        <v>6</v>
      </c>
      <c r="O8" s="12" t="s">
        <v>15</v>
      </c>
      <c r="Q8" s="14" t="str">
        <f t="shared" si="0"/>
        <v>40.03.01 Юриспруденция</v>
      </c>
      <c r="R8" s="14"/>
      <c r="S8" s="15" t="s">
        <v>27</v>
      </c>
      <c r="T8" s="16" t="s">
        <v>6</v>
      </c>
    </row>
    <row r="9" spans="1:21" x14ac:dyDescent="0.4">
      <c r="A9" s="12" t="s">
        <v>24</v>
      </c>
      <c r="C9" s="13" t="s">
        <v>87</v>
      </c>
      <c r="D9" s="17"/>
      <c r="E9" s="17"/>
      <c r="H9" s="12" t="s">
        <v>24</v>
      </c>
      <c r="J9" s="13" t="s">
        <v>88</v>
      </c>
      <c r="K9" s="17"/>
      <c r="L9" s="17"/>
      <c r="M9" s="17"/>
      <c r="O9" s="12" t="s">
        <v>24</v>
      </c>
      <c r="Q9" s="13" t="s">
        <v>89</v>
      </c>
      <c r="R9" s="17"/>
      <c r="S9" s="17"/>
      <c r="T9" s="17"/>
    </row>
    <row r="10" spans="1:21" ht="19.5" thickBot="1" x14ac:dyDescent="0.45">
      <c r="A10" s="12" t="s">
        <v>32</v>
      </c>
      <c r="C10" s="13" t="s">
        <v>292</v>
      </c>
      <c r="D10" s="17"/>
      <c r="E10" s="17"/>
      <c r="H10" s="12" t="s">
        <v>32</v>
      </c>
      <c r="J10" s="13" t="s">
        <v>292</v>
      </c>
      <c r="K10" s="17"/>
      <c r="L10" s="17"/>
      <c r="M10" s="17"/>
      <c r="O10" s="12" t="s">
        <v>32</v>
      </c>
      <c r="Q10" s="13" t="s">
        <v>292</v>
      </c>
      <c r="R10" s="17"/>
      <c r="S10" s="17"/>
      <c r="T10" s="17"/>
    </row>
    <row r="11" spans="1:21" ht="19.5" thickBot="1" x14ac:dyDescent="0.45">
      <c r="A11" s="18" t="s">
        <v>17</v>
      </c>
      <c r="B11" s="19" t="s">
        <v>0</v>
      </c>
      <c r="C11" s="20" t="s">
        <v>25</v>
      </c>
      <c r="D11" s="20"/>
      <c r="E11" s="21"/>
      <c r="F11" s="22"/>
      <c r="G11" s="23" t="s">
        <v>14</v>
      </c>
      <c r="H11" s="18" t="s">
        <v>17</v>
      </c>
      <c r="I11" s="19" t="s">
        <v>0</v>
      </c>
      <c r="J11" s="20" t="s">
        <v>25</v>
      </c>
      <c r="K11" s="24"/>
      <c r="L11" s="21"/>
      <c r="M11" s="22"/>
      <c r="N11" s="23" t="s">
        <v>14</v>
      </c>
      <c r="O11" s="18" t="s">
        <v>17</v>
      </c>
      <c r="P11" s="19" t="s">
        <v>0</v>
      </c>
      <c r="Q11" s="20" t="s">
        <v>25</v>
      </c>
      <c r="R11" s="24"/>
      <c r="S11" s="21"/>
      <c r="T11" s="22"/>
      <c r="U11" s="23" t="s">
        <v>14</v>
      </c>
    </row>
    <row r="12" spans="1:21" x14ac:dyDescent="0.4">
      <c r="A12" s="25" t="s">
        <v>18</v>
      </c>
      <c r="B12" s="26">
        <v>2</v>
      </c>
      <c r="C12" s="182" t="s">
        <v>234</v>
      </c>
      <c r="D12" s="183"/>
      <c r="E12" s="183"/>
      <c r="F12" s="184"/>
      <c r="G12" s="128" t="s">
        <v>41</v>
      </c>
      <c r="H12" s="25" t="s">
        <v>18</v>
      </c>
      <c r="I12" s="26">
        <v>3</v>
      </c>
      <c r="J12" s="182" t="s">
        <v>278</v>
      </c>
      <c r="K12" s="183"/>
      <c r="L12" s="183"/>
      <c r="M12" s="184"/>
      <c r="N12" s="128" t="s">
        <v>40</v>
      </c>
      <c r="O12" s="25" t="s">
        <v>18</v>
      </c>
      <c r="P12" s="26">
        <v>2</v>
      </c>
      <c r="Q12" s="201" t="s">
        <v>83</v>
      </c>
      <c r="R12" s="202"/>
      <c r="S12" s="202"/>
      <c r="T12" s="203"/>
      <c r="U12" s="128" t="s">
        <v>37</v>
      </c>
    </row>
    <row r="13" spans="1:21" ht="17.25" customHeight="1" x14ac:dyDescent="0.4">
      <c r="A13" s="28"/>
      <c r="B13" s="29">
        <v>3</v>
      </c>
      <c r="C13" s="414" t="s">
        <v>235</v>
      </c>
      <c r="D13" s="247"/>
      <c r="E13" s="247"/>
      <c r="F13" s="248"/>
      <c r="G13" s="120" t="s">
        <v>41</v>
      </c>
      <c r="H13" s="28"/>
      <c r="I13" s="29">
        <v>4</v>
      </c>
      <c r="J13" s="414" t="s">
        <v>236</v>
      </c>
      <c r="K13" s="247"/>
      <c r="L13" s="247"/>
      <c r="M13" s="248"/>
      <c r="N13" s="120" t="s">
        <v>39</v>
      </c>
      <c r="O13" s="28"/>
      <c r="P13" s="29">
        <v>3</v>
      </c>
      <c r="Q13" s="163" t="s">
        <v>258</v>
      </c>
      <c r="R13" s="164"/>
      <c r="S13" s="164"/>
      <c r="T13" s="165"/>
      <c r="U13" s="120" t="s">
        <v>61</v>
      </c>
    </row>
    <row r="14" spans="1:21" ht="19.5" customHeight="1" x14ac:dyDescent="0.4">
      <c r="A14" s="28"/>
      <c r="B14" s="29">
        <v>4</v>
      </c>
      <c r="C14" s="414" t="s">
        <v>236</v>
      </c>
      <c r="D14" s="247"/>
      <c r="E14" s="247"/>
      <c r="F14" s="248"/>
      <c r="G14" s="120" t="s">
        <v>39</v>
      </c>
      <c r="H14" s="28"/>
      <c r="I14" s="29">
        <v>5</v>
      </c>
      <c r="J14" s="414" t="s">
        <v>247</v>
      </c>
      <c r="K14" s="247"/>
      <c r="L14" s="247"/>
      <c r="M14" s="248"/>
      <c r="N14" s="120" t="s">
        <v>82</v>
      </c>
      <c r="O14" s="28"/>
      <c r="P14" s="29">
        <v>4</v>
      </c>
      <c r="Q14" s="414" t="s">
        <v>236</v>
      </c>
      <c r="R14" s="247"/>
      <c r="S14" s="247"/>
      <c r="T14" s="248"/>
      <c r="U14" s="120" t="s">
        <v>39</v>
      </c>
    </row>
    <row r="15" spans="1:21" ht="20.25" customHeight="1" thickBot="1" x14ac:dyDescent="0.45">
      <c r="A15" s="31"/>
      <c r="B15" s="32">
        <v>5</v>
      </c>
      <c r="C15" s="375"/>
      <c r="D15" s="376"/>
      <c r="E15" s="376"/>
      <c r="F15" s="377"/>
      <c r="G15" s="30"/>
      <c r="H15" s="31"/>
      <c r="I15" s="32">
        <v>6</v>
      </c>
      <c r="J15" s="433" t="s">
        <v>248</v>
      </c>
      <c r="K15" s="434"/>
      <c r="L15" s="434"/>
      <c r="M15" s="435"/>
      <c r="N15" s="124" t="s">
        <v>82</v>
      </c>
      <c r="O15" s="31"/>
      <c r="P15" s="32">
        <v>5</v>
      </c>
      <c r="Q15" s="430"/>
      <c r="R15" s="431"/>
      <c r="S15" s="431"/>
      <c r="T15" s="432"/>
      <c r="U15" s="124"/>
    </row>
    <row r="16" spans="1:21" ht="18" customHeight="1" x14ac:dyDescent="0.4">
      <c r="A16" s="34" t="s">
        <v>19</v>
      </c>
      <c r="B16" s="35">
        <v>2</v>
      </c>
      <c r="C16" s="204" t="s">
        <v>237</v>
      </c>
      <c r="D16" s="205"/>
      <c r="E16" s="205"/>
      <c r="F16" s="206"/>
      <c r="G16" s="128" t="s">
        <v>41</v>
      </c>
      <c r="H16" s="34" t="s">
        <v>19</v>
      </c>
      <c r="I16" s="35">
        <v>2</v>
      </c>
      <c r="J16" s="204" t="s">
        <v>249</v>
      </c>
      <c r="K16" s="205"/>
      <c r="L16" s="205"/>
      <c r="M16" s="206"/>
      <c r="N16" s="128" t="s">
        <v>40</v>
      </c>
      <c r="O16" s="34" t="s">
        <v>19</v>
      </c>
      <c r="P16" s="35">
        <v>2</v>
      </c>
      <c r="Q16" s="415"/>
      <c r="R16" s="416"/>
      <c r="S16" s="416"/>
      <c r="T16" s="417"/>
      <c r="U16" s="140"/>
    </row>
    <row r="17" spans="1:21" ht="18" customHeight="1" x14ac:dyDescent="0.4">
      <c r="A17" s="28"/>
      <c r="B17" s="29">
        <v>3</v>
      </c>
      <c r="C17" s="414" t="s">
        <v>238</v>
      </c>
      <c r="D17" s="247"/>
      <c r="E17" s="247"/>
      <c r="F17" s="248"/>
      <c r="G17" s="120" t="s">
        <v>41</v>
      </c>
      <c r="H17" s="28"/>
      <c r="I17" s="29">
        <v>3</v>
      </c>
      <c r="J17" s="163" t="s">
        <v>250</v>
      </c>
      <c r="K17" s="164"/>
      <c r="L17" s="164"/>
      <c r="M17" s="165"/>
      <c r="N17" s="120" t="s">
        <v>40</v>
      </c>
      <c r="O17" s="28"/>
      <c r="P17" s="29">
        <v>3</v>
      </c>
      <c r="Q17" s="160" t="s">
        <v>262</v>
      </c>
      <c r="R17" s="161"/>
      <c r="S17" s="161"/>
      <c r="T17" s="162"/>
      <c r="U17" s="134" t="s">
        <v>37</v>
      </c>
    </row>
    <row r="18" spans="1:21" ht="37.5" customHeight="1" x14ac:dyDescent="0.4">
      <c r="A18" s="28"/>
      <c r="B18" s="29">
        <v>4</v>
      </c>
      <c r="C18" s="163" t="s">
        <v>122</v>
      </c>
      <c r="D18" s="164"/>
      <c r="E18" s="164"/>
      <c r="F18" s="165"/>
      <c r="G18" s="120" t="s">
        <v>59</v>
      </c>
      <c r="H18" s="28"/>
      <c r="I18" s="29">
        <v>4</v>
      </c>
      <c r="J18" s="182" t="s">
        <v>275</v>
      </c>
      <c r="K18" s="183"/>
      <c r="L18" s="183"/>
      <c r="M18" s="184"/>
      <c r="N18" s="120" t="s">
        <v>40</v>
      </c>
      <c r="O18" s="28"/>
      <c r="P18" s="29">
        <v>4</v>
      </c>
      <c r="Q18" s="163" t="s">
        <v>260</v>
      </c>
      <c r="R18" s="164"/>
      <c r="S18" s="164"/>
      <c r="T18" s="165"/>
      <c r="U18" s="120" t="s">
        <v>62</v>
      </c>
    </row>
    <row r="19" spans="1:21" ht="36" customHeight="1" x14ac:dyDescent="0.4">
      <c r="A19" s="28"/>
      <c r="B19" s="29">
        <v>5</v>
      </c>
      <c r="C19" s="163" t="s">
        <v>120</v>
      </c>
      <c r="D19" s="164"/>
      <c r="E19" s="164"/>
      <c r="F19" s="165"/>
      <c r="G19" s="120" t="s">
        <v>59</v>
      </c>
      <c r="H19" s="28"/>
      <c r="I19" s="29">
        <v>5</v>
      </c>
      <c r="J19" s="163" t="s">
        <v>276</v>
      </c>
      <c r="K19" s="164"/>
      <c r="L19" s="164"/>
      <c r="M19" s="165"/>
      <c r="N19" s="120" t="s">
        <v>40</v>
      </c>
      <c r="O19" s="28"/>
      <c r="P19" s="29">
        <v>5</v>
      </c>
      <c r="Q19" s="163" t="s">
        <v>261</v>
      </c>
      <c r="R19" s="164"/>
      <c r="S19" s="164"/>
      <c r="T19" s="165"/>
      <c r="U19" s="120" t="s">
        <v>62</v>
      </c>
    </row>
    <row r="20" spans="1:21" ht="18" customHeight="1" thickBot="1" x14ac:dyDescent="0.45">
      <c r="A20" s="36"/>
      <c r="B20" s="32">
        <v>6</v>
      </c>
      <c r="C20" s="436"/>
      <c r="D20" s="437"/>
      <c r="E20" s="437"/>
      <c r="F20" s="438"/>
      <c r="G20" s="33"/>
      <c r="H20" s="36"/>
      <c r="I20" s="32">
        <v>6</v>
      </c>
      <c r="J20" s="188"/>
      <c r="K20" s="189"/>
      <c r="L20" s="189"/>
      <c r="M20" s="190"/>
      <c r="N20" s="33"/>
      <c r="O20" s="36"/>
      <c r="P20" s="32">
        <v>6</v>
      </c>
      <c r="Q20" s="372"/>
      <c r="R20" s="373"/>
      <c r="S20" s="373"/>
      <c r="T20" s="374"/>
      <c r="U20" s="33"/>
    </row>
    <row r="21" spans="1:21" x14ac:dyDescent="0.4">
      <c r="A21" s="34" t="s">
        <v>20</v>
      </c>
      <c r="B21" s="35">
        <v>2</v>
      </c>
      <c r="C21" s="439" t="s">
        <v>119</v>
      </c>
      <c r="D21" s="219"/>
      <c r="E21" s="219"/>
      <c r="F21" s="220"/>
      <c r="G21" s="140" t="s">
        <v>39</v>
      </c>
      <c r="H21" s="34" t="s">
        <v>20</v>
      </c>
      <c r="I21" s="35">
        <v>2</v>
      </c>
      <c r="J21" s="439" t="s">
        <v>119</v>
      </c>
      <c r="K21" s="219"/>
      <c r="L21" s="219"/>
      <c r="M21" s="220"/>
      <c r="N21" s="140" t="s">
        <v>39</v>
      </c>
      <c r="O21" s="34" t="s">
        <v>20</v>
      </c>
      <c r="P21" s="35">
        <v>2</v>
      </c>
      <c r="Q21" s="201" t="s">
        <v>83</v>
      </c>
      <c r="R21" s="202"/>
      <c r="S21" s="202"/>
      <c r="T21" s="203"/>
      <c r="U21" s="128" t="s">
        <v>37</v>
      </c>
    </row>
    <row r="22" spans="1:21" x14ac:dyDescent="0.4">
      <c r="A22" s="28"/>
      <c r="B22" s="29">
        <v>3</v>
      </c>
      <c r="C22" s="360" t="s">
        <v>119</v>
      </c>
      <c r="D22" s="244"/>
      <c r="E22" s="244"/>
      <c r="F22" s="245"/>
      <c r="G22" s="134" t="s">
        <v>39</v>
      </c>
      <c r="H22" s="28"/>
      <c r="I22" s="29">
        <v>3</v>
      </c>
      <c r="J22" s="360" t="s">
        <v>119</v>
      </c>
      <c r="K22" s="244"/>
      <c r="L22" s="244"/>
      <c r="M22" s="245"/>
      <c r="N22" s="134" t="s">
        <v>39</v>
      </c>
      <c r="O22" s="28"/>
      <c r="P22" s="29">
        <v>3</v>
      </c>
      <c r="Q22" s="194" t="s">
        <v>287</v>
      </c>
      <c r="R22" s="195"/>
      <c r="S22" s="195"/>
      <c r="T22" s="196"/>
      <c r="U22" s="120" t="s">
        <v>286</v>
      </c>
    </row>
    <row r="23" spans="1:21" ht="18" customHeight="1" x14ac:dyDescent="0.4">
      <c r="A23" s="28"/>
      <c r="B23" s="29">
        <v>4</v>
      </c>
      <c r="C23" s="414" t="s">
        <v>239</v>
      </c>
      <c r="D23" s="247"/>
      <c r="E23" s="247"/>
      <c r="F23" s="248"/>
      <c r="G23" s="120" t="s">
        <v>59</v>
      </c>
      <c r="H23" s="28"/>
      <c r="I23" s="29">
        <v>4</v>
      </c>
      <c r="J23" s="160" t="s">
        <v>251</v>
      </c>
      <c r="K23" s="161"/>
      <c r="L23" s="161"/>
      <c r="M23" s="162"/>
      <c r="N23" s="134" t="s">
        <v>40</v>
      </c>
      <c r="O23" s="28"/>
      <c r="P23" s="29">
        <v>4</v>
      </c>
      <c r="Q23" s="414" t="s">
        <v>266</v>
      </c>
      <c r="R23" s="247"/>
      <c r="S23" s="247"/>
      <c r="T23" s="248"/>
      <c r="U23" s="120" t="s">
        <v>39</v>
      </c>
    </row>
    <row r="24" spans="1:21" ht="20.25" customHeight="1" x14ac:dyDescent="0.4">
      <c r="A24" s="28"/>
      <c r="B24" s="29">
        <v>5</v>
      </c>
      <c r="C24" s="414" t="s">
        <v>246</v>
      </c>
      <c r="D24" s="247"/>
      <c r="E24" s="247"/>
      <c r="F24" s="248"/>
      <c r="G24" s="120" t="s">
        <v>59</v>
      </c>
      <c r="H24" s="28"/>
      <c r="I24" s="29">
        <v>5</v>
      </c>
      <c r="J24" s="182" t="s">
        <v>252</v>
      </c>
      <c r="K24" s="183"/>
      <c r="L24" s="183"/>
      <c r="M24" s="184"/>
      <c r="N24" s="134" t="s">
        <v>40</v>
      </c>
      <c r="O24" s="28"/>
      <c r="P24" s="29">
        <v>5</v>
      </c>
      <c r="Q24" s="414" t="s">
        <v>266</v>
      </c>
      <c r="R24" s="247"/>
      <c r="S24" s="247"/>
      <c r="T24" s="248"/>
      <c r="U24" s="120" t="s">
        <v>39</v>
      </c>
    </row>
    <row r="25" spans="1:21" ht="19.5" thickBot="1" x14ac:dyDescent="0.45">
      <c r="A25" s="36"/>
      <c r="B25" s="32">
        <v>6</v>
      </c>
      <c r="C25" s="378"/>
      <c r="D25" s="379"/>
      <c r="E25" s="379"/>
      <c r="F25" s="380"/>
      <c r="G25" s="111"/>
      <c r="H25" s="36"/>
      <c r="I25" s="32">
        <v>6</v>
      </c>
      <c r="J25" s="443"/>
      <c r="K25" s="444"/>
      <c r="L25" s="444"/>
      <c r="M25" s="445"/>
      <c r="N25" s="111"/>
      <c r="O25" s="36"/>
      <c r="P25" s="32">
        <v>6</v>
      </c>
      <c r="Q25" s="227"/>
      <c r="R25" s="228"/>
      <c r="S25" s="228"/>
      <c r="T25" s="229"/>
      <c r="U25" s="30"/>
    </row>
    <row r="26" spans="1:21" ht="33" customHeight="1" x14ac:dyDescent="0.4">
      <c r="A26" s="34" t="s">
        <v>21</v>
      </c>
      <c r="B26" s="35">
        <v>1</v>
      </c>
      <c r="C26" s="319" t="s">
        <v>240</v>
      </c>
      <c r="D26" s="320"/>
      <c r="E26" s="320"/>
      <c r="F26" s="321"/>
      <c r="G26" s="128" t="s">
        <v>50</v>
      </c>
      <c r="H26" s="34" t="s">
        <v>21</v>
      </c>
      <c r="I26" s="35">
        <v>3</v>
      </c>
      <c r="J26" s="316" t="s">
        <v>243</v>
      </c>
      <c r="K26" s="317"/>
      <c r="L26" s="255"/>
      <c r="M26" s="256"/>
      <c r="N26" s="134" t="s">
        <v>73</v>
      </c>
      <c r="O26" s="34" t="s">
        <v>21</v>
      </c>
      <c r="P26" s="35">
        <v>2</v>
      </c>
      <c r="Q26" s="273" t="s">
        <v>263</v>
      </c>
      <c r="R26" s="274"/>
      <c r="S26" s="274"/>
      <c r="T26" s="275"/>
      <c r="U26" s="128" t="s">
        <v>43</v>
      </c>
    </row>
    <row r="27" spans="1:21" ht="18" customHeight="1" x14ac:dyDescent="0.4">
      <c r="A27" s="28"/>
      <c r="B27" s="29">
        <v>2</v>
      </c>
      <c r="C27" s="163" t="s">
        <v>241</v>
      </c>
      <c r="D27" s="164"/>
      <c r="E27" s="164"/>
      <c r="F27" s="165"/>
      <c r="G27" s="120" t="s">
        <v>50</v>
      </c>
      <c r="H27" s="28"/>
      <c r="I27" s="29">
        <v>4</v>
      </c>
      <c r="J27" s="160" t="s">
        <v>117</v>
      </c>
      <c r="K27" s="161"/>
      <c r="L27" s="161"/>
      <c r="M27" s="162"/>
      <c r="N27" s="134" t="s">
        <v>40</v>
      </c>
      <c r="O27" s="28"/>
      <c r="P27" s="29">
        <v>3</v>
      </c>
      <c r="Q27" s="163" t="s">
        <v>264</v>
      </c>
      <c r="R27" s="164"/>
      <c r="S27" s="164"/>
      <c r="T27" s="165"/>
      <c r="U27" s="120" t="s">
        <v>285</v>
      </c>
    </row>
    <row r="28" spans="1:21" ht="18" customHeight="1" x14ac:dyDescent="0.4">
      <c r="A28" s="28"/>
      <c r="B28" s="29">
        <v>3</v>
      </c>
      <c r="C28" s="163" t="s">
        <v>241</v>
      </c>
      <c r="D28" s="164"/>
      <c r="E28" s="164"/>
      <c r="F28" s="165"/>
      <c r="G28" s="120" t="s">
        <v>50</v>
      </c>
      <c r="H28" s="28"/>
      <c r="I28" s="29">
        <v>5</v>
      </c>
      <c r="J28" s="160"/>
      <c r="K28" s="161"/>
      <c r="L28" s="161"/>
      <c r="M28" s="162"/>
      <c r="N28" s="134"/>
      <c r="O28" s="28"/>
      <c r="P28" s="29">
        <v>4</v>
      </c>
      <c r="Q28" s="163" t="s">
        <v>263</v>
      </c>
      <c r="R28" s="164"/>
      <c r="S28" s="164"/>
      <c r="T28" s="165"/>
      <c r="U28" s="120" t="s">
        <v>43</v>
      </c>
    </row>
    <row r="29" spans="1:21" ht="18" customHeight="1" thickBot="1" x14ac:dyDescent="0.45">
      <c r="A29" s="36"/>
      <c r="B29" s="32">
        <v>4</v>
      </c>
      <c r="C29" s="433" t="s">
        <v>242</v>
      </c>
      <c r="D29" s="434"/>
      <c r="E29" s="434"/>
      <c r="F29" s="435"/>
      <c r="G29" s="124" t="s">
        <v>73</v>
      </c>
      <c r="H29" s="36"/>
      <c r="I29" s="32">
        <v>6</v>
      </c>
      <c r="J29" s="440"/>
      <c r="K29" s="441"/>
      <c r="L29" s="441"/>
      <c r="M29" s="442"/>
      <c r="N29" s="130"/>
      <c r="O29" s="36"/>
      <c r="P29" s="32">
        <v>5</v>
      </c>
      <c r="Q29" s="424" t="s">
        <v>264</v>
      </c>
      <c r="R29" s="425"/>
      <c r="S29" s="425"/>
      <c r="T29" s="426"/>
      <c r="U29" s="124" t="s">
        <v>43</v>
      </c>
    </row>
    <row r="30" spans="1:21" x14ac:dyDescent="0.4">
      <c r="A30" s="34" t="s">
        <v>22</v>
      </c>
      <c r="B30" s="35">
        <v>2</v>
      </c>
      <c r="C30" s="319" t="s">
        <v>244</v>
      </c>
      <c r="D30" s="320"/>
      <c r="E30" s="320"/>
      <c r="F30" s="321"/>
      <c r="G30" s="128" t="s">
        <v>59</v>
      </c>
      <c r="H30" s="34" t="s">
        <v>22</v>
      </c>
      <c r="I30" s="35">
        <v>1</v>
      </c>
      <c r="J30" s="157" t="s">
        <v>253</v>
      </c>
      <c r="K30" s="158"/>
      <c r="L30" s="158"/>
      <c r="M30" s="159"/>
      <c r="N30" s="140" t="s">
        <v>55</v>
      </c>
      <c r="O30" s="34" t="s">
        <v>22</v>
      </c>
      <c r="P30" s="35">
        <v>3</v>
      </c>
      <c r="Q30" s="157" t="s">
        <v>265</v>
      </c>
      <c r="R30" s="158"/>
      <c r="S30" s="158"/>
      <c r="T30" s="159"/>
      <c r="U30" s="134" t="s">
        <v>61</v>
      </c>
    </row>
    <row r="31" spans="1:21" ht="18.75" customHeight="1" x14ac:dyDescent="0.4">
      <c r="A31" s="37"/>
      <c r="B31" s="29">
        <v>3</v>
      </c>
      <c r="C31" s="163" t="s">
        <v>245</v>
      </c>
      <c r="D31" s="164"/>
      <c r="E31" s="164"/>
      <c r="F31" s="165"/>
      <c r="G31" s="120" t="s">
        <v>59</v>
      </c>
      <c r="H31" s="37"/>
      <c r="I31" s="29">
        <v>2</v>
      </c>
      <c r="J31" s="160" t="s">
        <v>254</v>
      </c>
      <c r="K31" s="161"/>
      <c r="L31" s="161"/>
      <c r="M31" s="162"/>
      <c r="N31" s="134" t="s">
        <v>55</v>
      </c>
      <c r="O31" s="37"/>
      <c r="P31" s="29">
        <v>4</v>
      </c>
      <c r="Q31" s="163" t="s">
        <v>259</v>
      </c>
      <c r="R31" s="164"/>
      <c r="S31" s="164"/>
      <c r="T31" s="165"/>
      <c r="U31" s="120" t="s">
        <v>61</v>
      </c>
    </row>
    <row r="32" spans="1:21" ht="33.75" customHeight="1" x14ac:dyDescent="0.4">
      <c r="A32" s="37"/>
      <c r="B32" s="29">
        <v>4</v>
      </c>
      <c r="C32" s="163" t="s">
        <v>120</v>
      </c>
      <c r="D32" s="164"/>
      <c r="E32" s="164"/>
      <c r="F32" s="165"/>
      <c r="G32" s="120" t="s">
        <v>59</v>
      </c>
      <c r="H32" s="37"/>
      <c r="I32" s="29">
        <v>3</v>
      </c>
      <c r="J32" s="160" t="s">
        <v>254</v>
      </c>
      <c r="K32" s="161"/>
      <c r="L32" s="161"/>
      <c r="M32" s="162"/>
      <c r="N32" s="134" t="s">
        <v>55</v>
      </c>
      <c r="O32" s="37"/>
      <c r="P32" s="29">
        <v>5</v>
      </c>
      <c r="Q32" s="160" t="s">
        <v>256</v>
      </c>
      <c r="R32" s="161"/>
      <c r="S32" s="161" t="s">
        <v>257</v>
      </c>
      <c r="T32" s="162"/>
      <c r="U32" s="134" t="s">
        <v>73</v>
      </c>
    </row>
    <row r="33" spans="1:21" ht="36.75" customHeight="1" thickBot="1" x14ac:dyDescent="0.45">
      <c r="A33" s="38"/>
      <c r="B33" s="32">
        <v>5</v>
      </c>
      <c r="C33" s="372"/>
      <c r="D33" s="373"/>
      <c r="E33" s="373"/>
      <c r="F33" s="374"/>
      <c r="G33" s="134"/>
      <c r="H33" s="38"/>
      <c r="I33" s="32">
        <v>4</v>
      </c>
      <c r="J33" s="390"/>
      <c r="K33" s="391"/>
      <c r="L33" s="422" t="s">
        <v>255</v>
      </c>
      <c r="M33" s="423"/>
      <c r="N33" s="135" t="s">
        <v>73</v>
      </c>
      <c r="O33" s="38"/>
      <c r="P33" s="32">
        <v>6</v>
      </c>
      <c r="Q33" s="421" t="s">
        <v>256</v>
      </c>
      <c r="R33" s="422"/>
      <c r="S33" s="422" t="s">
        <v>257</v>
      </c>
      <c r="T33" s="423"/>
      <c r="U33" s="122" t="s">
        <v>73</v>
      </c>
    </row>
    <row r="34" spans="1:21" ht="16.5" customHeight="1" x14ac:dyDescent="0.4">
      <c r="A34" s="39" t="s">
        <v>23</v>
      </c>
      <c r="B34" s="26">
        <v>1</v>
      </c>
      <c r="C34" s="319" t="s">
        <v>30</v>
      </c>
      <c r="D34" s="320"/>
      <c r="E34" s="320"/>
      <c r="F34" s="321"/>
      <c r="G34" s="27"/>
      <c r="H34" s="39" t="s">
        <v>23</v>
      </c>
      <c r="I34" s="26">
        <v>2</v>
      </c>
      <c r="J34" s="427" t="s">
        <v>30</v>
      </c>
      <c r="K34" s="428"/>
      <c r="L34" s="428"/>
      <c r="M34" s="429"/>
      <c r="N34" s="40"/>
      <c r="O34" s="39" t="s">
        <v>23</v>
      </c>
      <c r="P34" s="26">
        <v>1</v>
      </c>
      <c r="Q34" s="319" t="s">
        <v>30</v>
      </c>
      <c r="R34" s="320"/>
      <c r="S34" s="320"/>
      <c r="T34" s="321"/>
      <c r="U34" s="27"/>
    </row>
    <row r="35" spans="1:21" ht="21" customHeight="1" x14ac:dyDescent="0.4">
      <c r="A35" s="41"/>
      <c r="B35" s="29">
        <v>2</v>
      </c>
      <c r="C35" s="375"/>
      <c r="D35" s="376"/>
      <c r="E35" s="376"/>
      <c r="F35" s="377"/>
      <c r="G35" s="120"/>
      <c r="H35" s="41"/>
      <c r="I35" s="29">
        <v>3</v>
      </c>
      <c r="J35" s="249"/>
      <c r="K35" s="250"/>
      <c r="L35" s="250"/>
      <c r="M35" s="199"/>
      <c r="N35" s="30"/>
      <c r="O35" s="41"/>
      <c r="P35" s="29">
        <v>2</v>
      </c>
      <c r="Q35" s="249"/>
      <c r="R35" s="250"/>
      <c r="S35" s="250"/>
      <c r="T35" s="199"/>
      <c r="U35" s="30"/>
    </row>
    <row r="36" spans="1:21" ht="19.5" thickBot="1" x14ac:dyDescent="0.45">
      <c r="A36" s="42"/>
      <c r="B36" s="43"/>
      <c r="C36" s="378"/>
      <c r="D36" s="379"/>
      <c r="E36" s="379"/>
      <c r="F36" s="380"/>
      <c r="G36" s="33"/>
      <c r="H36" s="42"/>
      <c r="I36" s="43"/>
      <c r="J36" s="378"/>
      <c r="K36" s="379"/>
      <c r="L36" s="379"/>
      <c r="M36" s="380"/>
      <c r="N36" s="33"/>
      <c r="O36" s="44"/>
      <c r="P36" s="43"/>
      <c r="Q36" s="378"/>
      <c r="R36" s="379"/>
      <c r="S36" s="379"/>
      <c r="T36" s="380"/>
      <c r="U36" s="33"/>
    </row>
    <row r="37" spans="1:21" x14ac:dyDescent="0.4">
      <c r="B37" s="2" t="s">
        <v>130</v>
      </c>
      <c r="E37" s="2" t="s">
        <v>63</v>
      </c>
      <c r="I37" s="2" t="s">
        <v>130</v>
      </c>
      <c r="L37" s="2" t="s">
        <v>63</v>
      </c>
      <c r="P37" s="2" t="s">
        <v>130</v>
      </c>
      <c r="S37" s="2" t="s">
        <v>63</v>
      </c>
    </row>
    <row r="38" spans="1:21" x14ac:dyDescent="0.4">
      <c r="B38" s="2" t="s">
        <v>13</v>
      </c>
      <c r="E38" s="2" t="s">
        <v>131</v>
      </c>
      <c r="I38" s="2" t="s">
        <v>13</v>
      </c>
      <c r="L38" s="2" t="s">
        <v>131</v>
      </c>
      <c r="P38" s="2" t="s">
        <v>13</v>
      </c>
      <c r="S38" s="2" t="s">
        <v>63</v>
      </c>
    </row>
  </sheetData>
  <mergeCells count="79">
    <mergeCell ref="C30:F30"/>
    <mergeCell ref="C31:F31"/>
    <mergeCell ref="J32:M32"/>
    <mergeCell ref="C35:F35"/>
    <mergeCell ref="C33:F33"/>
    <mergeCell ref="J33:K33"/>
    <mergeCell ref="L33:M33"/>
    <mergeCell ref="J30:M30"/>
    <mergeCell ref="J31:M31"/>
    <mergeCell ref="C32:F32"/>
    <mergeCell ref="C29:F29"/>
    <mergeCell ref="C25:F25"/>
    <mergeCell ref="C17:F17"/>
    <mergeCell ref="C18:F18"/>
    <mergeCell ref="C26:F26"/>
    <mergeCell ref="C27:F27"/>
    <mergeCell ref="C24:F24"/>
    <mergeCell ref="C28:F28"/>
    <mergeCell ref="C23:F23"/>
    <mergeCell ref="C14:F14"/>
    <mergeCell ref="J14:M14"/>
    <mergeCell ref="C15:F15"/>
    <mergeCell ref="J19:M19"/>
    <mergeCell ref="J20:M20"/>
    <mergeCell ref="J29:M29"/>
    <mergeCell ref="J21:M21"/>
    <mergeCell ref="J22:M22"/>
    <mergeCell ref="J23:M23"/>
    <mergeCell ref="J25:M25"/>
    <mergeCell ref="J27:M27"/>
    <mergeCell ref="J24:M24"/>
    <mergeCell ref="J26:K26"/>
    <mergeCell ref="L26:M26"/>
    <mergeCell ref="C36:F36"/>
    <mergeCell ref="J12:M12"/>
    <mergeCell ref="J15:M15"/>
    <mergeCell ref="J16:M16"/>
    <mergeCell ref="J17:M17"/>
    <mergeCell ref="J18:M18"/>
    <mergeCell ref="C12:F12"/>
    <mergeCell ref="C16:F16"/>
    <mergeCell ref="C19:F19"/>
    <mergeCell ref="C20:F20"/>
    <mergeCell ref="C13:F13"/>
    <mergeCell ref="C21:F21"/>
    <mergeCell ref="C22:F22"/>
    <mergeCell ref="C34:F34"/>
    <mergeCell ref="J13:M13"/>
    <mergeCell ref="J28:M28"/>
    <mergeCell ref="Q12:T12"/>
    <mergeCell ref="Q15:T15"/>
    <mergeCell ref="Q16:T16"/>
    <mergeCell ref="Q17:T17"/>
    <mergeCell ref="Q18:T18"/>
    <mergeCell ref="Q13:T13"/>
    <mergeCell ref="Q14:T14"/>
    <mergeCell ref="Q36:T36"/>
    <mergeCell ref="Q34:T34"/>
    <mergeCell ref="J34:M34"/>
    <mergeCell ref="J35:M35"/>
    <mergeCell ref="J36:M36"/>
    <mergeCell ref="Q35:T35"/>
    <mergeCell ref="Q33:R33"/>
    <mergeCell ref="S33:T33"/>
    <mergeCell ref="Q26:T26"/>
    <mergeCell ref="Q30:T30"/>
    <mergeCell ref="Q25:T25"/>
    <mergeCell ref="Q27:T27"/>
    <mergeCell ref="Q28:T28"/>
    <mergeCell ref="Q29:T29"/>
    <mergeCell ref="Q31:T31"/>
    <mergeCell ref="Q32:R32"/>
    <mergeCell ref="S32:T32"/>
    <mergeCell ref="Q24:T24"/>
    <mergeCell ref="Q19:T19"/>
    <mergeCell ref="Q20:T20"/>
    <mergeCell ref="Q21:T21"/>
    <mergeCell ref="Q22:T22"/>
    <mergeCell ref="Q23:T23"/>
  </mergeCells>
  <dataValidations count="3">
    <dataValidation allowBlank="1" showDropDown="1" showInputMessage="1" showErrorMessage="1" sqref="Q7 J7 C7"/>
    <dataValidation type="list" allowBlank="1" showInputMessage="1" showErrorMessage="1" sqref="E6 L6 S6">
      <formula1>"осенний, весенний"</formula1>
    </dataValidation>
    <dataValidation type="list" allowBlank="1" showInputMessage="1" showErrorMessage="1" sqref="C6 J6 Q6">
      <formula1>"2025-2026"</formula1>
    </dataValidation>
  </dataValidations>
  <pageMargins left="1.299212598425197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4" id="{F1998A6D-7BF4-42D7-A7CE-31F20140B805}">
            <xm:f>IF('1 курс'!$C$9=0,"",'1 курс'!$C$9)</xm:f>
            <x14:dxf/>
          </x14:cfRule>
          <xm:sqref>D9:E10 L10 S10</xm:sqref>
        </x14:conditionalFormatting>
        <x14:conditionalFormatting xmlns:xm="http://schemas.microsoft.com/office/excel/2006/main">
          <x14:cfRule type="expression" priority="23" id="{66D50AEF-84E6-48C7-AC91-1ACC2812EBF0}">
            <xm:f>IF('1 курс'!$C$9=0,"",'1 курс'!$C$9)</xm:f>
            <x14:dxf/>
          </x14:cfRule>
          <xm:sqref>K9:L9</xm:sqref>
        </x14:conditionalFormatting>
        <x14:conditionalFormatting xmlns:xm="http://schemas.microsoft.com/office/excel/2006/main">
          <x14:cfRule type="expression" priority="22" id="{C1DC6E7B-907E-44EB-B49B-0D0DE91B5DE8}">
            <xm:f>IF('1 курс'!$C$9=0,"",'1 курс'!$C$9)</xm:f>
            <x14:dxf/>
          </x14:cfRule>
          <xm:sqref>R9:S9</xm:sqref>
        </x14:conditionalFormatting>
        <x14:conditionalFormatting xmlns:xm="http://schemas.microsoft.com/office/excel/2006/main">
          <x14:cfRule type="expression" priority="20" id="{0BC14FE6-D87B-49B0-841A-E764AA9ACEA4}">
            <xm:f>IF('1 курс'!$C$9=0,"",'1 курс'!$C$9)</xm:f>
            <x14:dxf/>
          </x14:cfRule>
          <xm:sqref>Q9</xm:sqref>
        </x14:conditionalFormatting>
        <x14:conditionalFormatting xmlns:xm="http://schemas.microsoft.com/office/excel/2006/main">
          <x14:cfRule type="expression" priority="16" id="{5C72F86D-958B-416B-A7FC-A62241D7CFCB}">
            <xm:f>IF('1 курс'!$C$9=0,"",'1 курс'!$C$9)</xm:f>
            <x14:dxf/>
          </x14:cfRule>
          <xm:sqref>C9:C10</xm:sqref>
        </x14:conditionalFormatting>
        <x14:conditionalFormatting xmlns:xm="http://schemas.microsoft.com/office/excel/2006/main">
          <x14:cfRule type="expression" priority="15" id="{604412AB-45EA-4A28-A9C9-7ABFE1A86769}">
            <xm:f>IF('1 курс'!$C$9=0,"",'1 курс'!$C$9)</xm:f>
            <x14:dxf/>
          </x14:cfRule>
          <xm:sqref>J9</xm:sqref>
        </x14:conditionalFormatting>
        <x14:conditionalFormatting xmlns:xm="http://schemas.microsoft.com/office/excel/2006/main">
          <x14:cfRule type="expression" priority="14" id="{9F9D69A3-3481-43D0-886C-27C4AF7A951C}">
            <xm:f>IF('1 курс'!$C$9=0,"",'1 курс'!$C$9)</xm:f>
            <x14:dxf/>
          </x14:cfRule>
          <xm:sqref>K10</xm:sqref>
        </x14:conditionalFormatting>
        <x14:conditionalFormatting xmlns:xm="http://schemas.microsoft.com/office/excel/2006/main">
          <x14:cfRule type="expression" priority="12" id="{B90F50B4-7256-4AFF-B751-B39272F6058A}">
            <xm:f>IF('1 курс'!$C$9=0,"",'1 курс'!$C$9)</xm:f>
            <x14:dxf/>
          </x14:cfRule>
          <xm:sqref>R10</xm:sqref>
        </x14:conditionalFormatting>
        <x14:conditionalFormatting xmlns:xm="http://schemas.microsoft.com/office/excel/2006/main">
          <x14:cfRule type="expression" priority="8" id="{917BFE26-05AC-4616-8ED3-62A61EB558A4}">
            <xm:f>IF('1 курс'!$C$9=0,"",'1 курс'!$C$9)</xm:f>
            <x14:dxf/>
          </x14:cfRule>
          <xm:sqref>M9</xm:sqref>
        </x14:conditionalFormatting>
        <x14:conditionalFormatting xmlns:xm="http://schemas.microsoft.com/office/excel/2006/main">
          <x14:cfRule type="expression" priority="7" id="{EA09FABC-BFF7-4054-B3D6-9C3EAC4C5F50}">
            <xm:f>IF('1 курс'!$C$9=0,"",'1 курс'!$C$9)</xm:f>
            <x14:dxf/>
          </x14:cfRule>
          <xm:sqref>M10</xm:sqref>
        </x14:conditionalFormatting>
        <x14:conditionalFormatting xmlns:xm="http://schemas.microsoft.com/office/excel/2006/main">
          <x14:cfRule type="expression" priority="5" id="{4315A3D5-E455-4738-AA60-0625DDBD3082}">
            <xm:f>IF('1 курс'!$C$9=0,"",'1 курс'!$C$9)</xm:f>
            <x14:dxf/>
          </x14:cfRule>
          <xm:sqref>T9</xm:sqref>
        </x14:conditionalFormatting>
        <x14:conditionalFormatting xmlns:xm="http://schemas.microsoft.com/office/excel/2006/main">
          <x14:cfRule type="expression" priority="4" id="{46221AAB-4896-4A0B-8E47-C7D4E209F2A8}">
            <xm:f>IF('1 курс'!$C$9=0,"",'1 курс'!$C$9)</xm:f>
            <x14:dxf/>
          </x14:cfRule>
          <xm:sqref>T10</xm:sqref>
        </x14:conditionalFormatting>
        <x14:conditionalFormatting xmlns:xm="http://schemas.microsoft.com/office/excel/2006/main">
          <x14:cfRule type="expression" priority="2" id="{8138530B-3AA4-48CE-A645-C61CEA28F72E}">
            <xm:f>IF('1 курс'!$C$9=0,"",'1 курс'!$C$9)</xm:f>
            <x14:dxf/>
          </x14:cfRule>
          <xm:sqref>J10</xm:sqref>
        </x14:conditionalFormatting>
        <x14:conditionalFormatting xmlns:xm="http://schemas.microsoft.com/office/excel/2006/main">
          <x14:cfRule type="expression" priority="1" id="{075FBB4E-8D17-47DC-934D-6BE8B0C345EC}">
            <xm:f>IF('1 курс'!$C$9=0,"",'1 курс'!$C$9)</xm:f>
            <x14:dxf/>
          </x14:cfRule>
          <xm:sqref>Q10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2026-03-18T10:16:48Z</dcterms:modified>
</cp:coreProperties>
</file>